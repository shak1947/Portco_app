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Store KPIs" sheetId="2" state="visible" r:id="rId2"/>
    <sheet xmlns:r="http://schemas.openxmlformats.org/officeDocument/2006/relationships" name="DC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+#,##0;(#,##0);&quot;-&quot;"/>
    <numFmt numFmtId="166" formatCode="0.0%"/>
    <numFmt numFmtId="167" formatCode="#,##0.0;(#,##0.0);&quot;-&quot;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000000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color rgb="00595959"/>
      <sz val="10"/>
    </font>
    <font>
      <name val="Arial"/>
      <sz val="10"/>
    </font>
    <font>
      <name val="Arial"/>
      <color rgb="00000000"/>
      <sz val="10"/>
    </font>
    <font>
      <name val="Arial"/>
      <b val="1"/>
      <color rgb="00FFFFFF"/>
      <sz val="12"/>
    </font>
    <font>
      <name val="Arial"/>
      <color rgb="002E75B6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166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left" vertical="center"/>
    </xf>
    <xf numFmtId="164" fontId="7" fillId="3" borderId="0" applyAlignment="1" pivotButton="0" quotePrefix="0" xfId="0">
      <alignment horizontal="right"/>
    </xf>
    <xf numFmtId="165" fontId="7" fillId="3" borderId="0" applyAlignment="1" pivotButton="0" quotePrefix="0" xfId="0">
      <alignment horizontal="right"/>
    </xf>
    <xf numFmtId="166" fontId="7" fillId="3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166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left" vertical="center"/>
    </xf>
    <xf numFmtId="164" fontId="5" fillId="3" borderId="0" applyAlignment="1" pivotButton="0" quotePrefix="0" xfId="0">
      <alignment horizontal="right"/>
    </xf>
    <xf numFmtId="165" fontId="5" fillId="3" borderId="0" applyAlignment="1" pivotButton="0" quotePrefix="0" xfId="0">
      <alignment horizontal="right"/>
    </xf>
    <xf numFmtId="166" fontId="5" fillId="3" borderId="0" applyAlignment="1" pivotButton="0" quotePrefix="0" xfId="0">
      <alignment horizontal="right"/>
    </xf>
    <xf numFmtId="0" fontId="9" fillId="2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167" fontId="7" fillId="3" borderId="0" applyAlignment="1" pivotButton="0" quotePrefix="0" xfId="0">
      <alignment horizontal="right"/>
    </xf>
    <xf numFmtId="167" fontId="7" fillId="0" borderId="0" applyAlignment="1" pivotButton="0" quotePrefix="0" xfId="0">
      <alignment horizontal="right"/>
    </xf>
    <xf numFmtId="166" fontId="10" fillId="0" borderId="0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</cols>
  <sheetData>
    <row r="1">
      <c r="A1" s="1" t="inlineStr">
        <is>
          <t>Premier Retail Holdings — Performance Report</t>
        </is>
      </c>
    </row>
    <row r="2">
      <c r="A2" s="2" t="inlineStr">
        <is>
          <t>Period: Q1 2025 | Comp Store Count: 312 | New Openings: 4 YTD</t>
        </is>
      </c>
    </row>
    <row r="4">
      <c r="A4" s="3" t="inlineStr"/>
      <c r="B4" s="3" t="inlineStr">
        <is>
          <t>FY2022A</t>
        </is>
      </c>
      <c r="C4" s="3" t="inlineStr">
        <is>
          <t>FY2023A</t>
        </is>
      </c>
      <c r="D4" s="3" t="inlineStr">
        <is>
          <t>FY2024A</t>
        </is>
      </c>
      <c r="E4" s="3" t="inlineStr">
        <is>
          <t>Q1 2024A</t>
        </is>
      </c>
      <c r="F4" s="3" t="inlineStr">
        <is>
          <t>Q1 2025A</t>
        </is>
      </c>
      <c r="G4" s="3" t="inlineStr">
        <is>
          <t>YoY $</t>
        </is>
      </c>
      <c r="H4" s="3" t="inlineStr">
        <is>
          <t>YoY %</t>
        </is>
      </c>
    </row>
    <row r="5">
      <c r="A5" s="4" t="inlineStr">
        <is>
          <t>Net Sales ($000s)</t>
        </is>
      </c>
      <c r="B5" s="5" t="n">
        <v>198400</v>
      </c>
      <c r="C5" s="5" t="n">
        <v>214200</v>
      </c>
      <c r="D5" s="5" t="n">
        <v>231800</v>
      </c>
      <c r="E5" s="5" t="n">
        <v>55400</v>
      </c>
      <c r="F5" s="5" t="n">
        <v>58900</v>
      </c>
      <c r="G5" s="6">
        <f>G5-F5</f>
        <v/>
      </c>
      <c r="H5" s="7">
        <f>(G5-F5)/F5</f>
        <v/>
      </c>
    </row>
    <row r="6">
      <c r="A6" s="8" t="inlineStr">
        <is>
          <t xml:space="preserve">  Comp Store Sales</t>
        </is>
      </c>
      <c r="B6" s="9" t="n">
        <v>182100</v>
      </c>
      <c r="C6" s="9" t="n">
        <v>197400</v>
      </c>
      <c r="D6" s="9" t="n">
        <v>213200</v>
      </c>
      <c r="E6" s="9" t="n">
        <v>50900</v>
      </c>
      <c r="F6" s="9" t="n">
        <v>53800</v>
      </c>
      <c r="G6" s="10" t="inlineStr"/>
      <c r="H6" s="11">
        <f>(H6-G6)/G6</f>
        <v/>
      </c>
    </row>
    <row r="7">
      <c r="A7" s="8" t="inlineStr">
        <is>
          <t xml:space="preserve">  New Store Sales</t>
        </is>
      </c>
      <c r="B7" s="12" t="n">
        <v>16300</v>
      </c>
      <c r="C7" s="12" t="n">
        <v>16800</v>
      </c>
      <c r="D7" s="12" t="n">
        <v>18600</v>
      </c>
      <c r="E7" s="12" t="n">
        <v>4500</v>
      </c>
      <c r="F7" s="12" t="n">
        <v>5100</v>
      </c>
      <c r="G7" s="13" t="inlineStr"/>
      <c r="H7" s="14" t="inlineStr"/>
    </row>
    <row r="8">
      <c r="A8" s="15" t="inlineStr">
        <is>
          <t>Cost of Goods Sold</t>
        </is>
      </c>
      <c r="B8" s="9" t="n">
        <v>118100</v>
      </c>
      <c r="C8" s="9" t="n">
        <v>127400</v>
      </c>
      <c r="D8" s="9" t="n">
        <v>137800</v>
      </c>
      <c r="E8" s="9" t="n">
        <v>32900</v>
      </c>
      <c r="F8" s="9" t="n">
        <v>34900</v>
      </c>
      <c r="G8" s="10" t="inlineStr"/>
      <c r="H8" s="11" t="inlineStr"/>
    </row>
    <row r="9">
      <c r="A9" s="4" t="inlineStr">
        <is>
          <t>Gross Profit</t>
        </is>
      </c>
      <c r="B9" s="5" t="n">
        <v>80300</v>
      </c>
      <c r="C9" s="5" t="n">
        <v>86800</v>
      </c>
      <c r="D9" s="5" t="n">
        <v>94000</v>
      </c>
      <c r="E9" s="5" t="n">
        <v>22500</v>
      </c>
      <c r="F9" s="5" t="n">
        <v>24000</v>
      </c>
      <c r="G9" s="6">
        <f>G9-F9</f>
        <v/>
      </c>
      <c r="H9" s="7">
        <f>(G9-F9)/F9</f>
        <v/>
      </c>
    </row>
    <row r="10">
      <c r="A10" s="15" t="inlineStr">
        <is>
          <t>Gross Margin %</t>
        </is>
      </c>
      <c r="B10" s="11">
        <f>C9/C5</f>
        <v/>
      </c>
      <c r="C10" s="11">
        <f>D9/D5</f>
        <v/>
      </c>
      <c r="D10" s="11">
        <f>E9/E5</f>
        <v/>
      </c>
      <c r="E10" s="11">
        <f>F9/F5</f>
        <v/>
      </c>
      <c r="F10" s="11">
        <f>G9/G5</f>
        <v/>
      </c>
      <c r="G10" s="11" t="inlineStr"/>
      <c r="H10" s="11" t="inlineStr"/>
    </row>
    <row r="11">
      <c r="A11" s="15" t="inlineStr">
        <is>
          <t>Store Operating Expenses</t>
        </is>
      </c>
      <c r="B11" s="12" t="n">
        <v>44200</v>
      </c>
      <c r="C11" s="12" t="n">
        <v>47100</v>
      </c>
      <c r="D11" s="12" t="n">
        <v>50800</v>
      </c>
      <c r="E11" s="12" t="n">
        <v>12200</v>
      </c>
      <c r="F11" s="12" t="n">
        <v>12900</v>
      </c>
      <c r="G11" s="13" t="inlineStr"/>
      <c r="H11" s="14" t="inlineStr"/>
    </row>
    <row r="12">
      <c r="A12" s="4" t="inlineStr">
        <is>
          <t>Four-Wall EBITDA</t>
        </is>
      </c>
      <c r="B12" s="16" t="n">
        <v>36100</v>
      </c>
      <c r="C12" s="16" t="n">
        <v>39700</v>
      </c>
      <c r="D12" s="16" t="n">
        <v>43200</v>
      </c>
      <c r="E12" s="16" t="n">
        <v>10300</v>
      </c>
      <c r="F12" s="16" t="n">
        <v>11100</v>
      </c>
      <c r="G12" s="17">
        <f>G12-F12</f>
        <v/>
      </c>
      <c r="H12" s="18">
        <f>(G12-F12)/F12</f>
        <v/>
      </c>
    </row>
    <row r="13">
      <c r="A13" s="15" t="inlineStr">
        <is>
          <t>Four-Wall EBITDA Margin %</t>
        </is>
      </c>
      <c r="B13" s="14">
        <f>C12/C5</f>
        <v/>
      </c>
      <c r="C13" s="14">
        <f>D12/D5</f>
        <v/>
      </c>
      <c r="D13" s="14">
        <f>E12/E5</f>
        <v/>
      </c>
      <c r="E13" s="14">
        <f>F12/F5</f>
        <v/>
      </c>
      <c r="F13" s="14">
        <f>G12/G5</f>
        <v/>
      </c>
      <c r="G13" s="14" t="inlineStr"/>
      <c r="H13" s="14" t="inlineStr"/>
    </row>
    <row r="14">
      <c r="A14" s="15" t="inlineStr">
        <is>
          <t>Corporate G&amp;A</t>
        </is>
      </c>
      <c r="B14" s="9" t="n">
        <v>12800</v>
      </c>
      <c r="C14" s="9" t="n">
        <v>13400</v>
      </c>
      <c r="D14" s="9" t="n">
        <v>14200</v>
      </c>
      <c r="E14" s="9" t="n">
        <v>3500</v>
      </c>
      <c r="F14" s="9" t="n">
        <v>3700</v>
      </c>
      <c r="G14" s="10" t="inlineStr"/>
      <c r="H14" s="11" t="inlineStr"/>
    </row>
    <row r="15">
      <c r="A15" s="15" t="inlineStr">
        <is>
          <t>Pre-opening Costs</t>
        </is>
      </c>
      <c r="B15" s="12" t="n">
        <v>800</v>
      </c>
      <c r="C15" s="12" t="n">
        <v>900</v>
      </c>
      <c r="D15" s="12" t="n">
        <v>800</v>
      </c>
      <c r="E15" s="12" t="n">
        <v>200</v>
      </c>
      <c r="F15" s="12" t="n">
        <v>350</v>
      </c>
      <c r="G15" s="13" t="inlineStr"/>
      <c r="H15" s="14" t="inlineStr"/>
    </row>
    <row r="16">
      <c r="A16" s="4" t="inlineStr">
        <is>
          <t>EBITDA</t>
        </is>
      </c>
      <c r="B16" s="16" t="n">
        <v>22500</v>
      </c>
      <c r="C16" s="16" t="n">
        <v>25400</v>
      </c>
      <c r="D16" s="16" t="n">
        <v>28200</v>
      </c>
      <c r="E16" s="16" t="n">
        <v>6600</v>
      </c>
      <c r="F16" s="16" t="n">
        <v>7050</v>
      </c>
      <c r="G16" s="17">
        <f>G16-F16</f>
        <v/>
      </c>
      <c r="H16" s="18">
        <f>(G16-F16)/F16</f>
        <v/>
      </c>
    </row>
    <row r="17">
      <c r="A17" s="15" t="inlineStr">
        <is>
          <t>EBITDA Margin %</t>
        </is>
      </c>
      <c r="B17" s="14">
        <f>C16/C5</f>
        <v/>
      </c>
      <c r="C17" s="14">
        <f>D16/D5</f>
        <v/>
      </c>
      <c r="D17" s="14">
        <f>E16/E5</f>
        <v/>
      </c>
      <c r="E17" s="14">
        <f>F16/F5</f>
        <v/>
      </c>
      <c r="F17" s="14">
        <f>G16/G5</f>
        <v/>
      </c>
      <c r="G17" s="14" t="inlineStr"/>
      <c r="H17" s="14" t="inlineStr"/>
    </row>
    <row r="18">
      <c r="A18" s="15" t="inlineStr">
        <is>
          <t>D&amp;A</t>
        </is>
      </c>
      <c r="B18" s="9" t="n">
        <v>7200</v>
      </c>
      <c r="C18" s="9" t="n">
        <v>7800</v>
      </c>
      <c r="D18" s="9" t="n">
        <v>8400</v>
      </c>
      <c r="E18" s="9" t="n">
        <v>2100</v>
      </c>
      <c r="F18" s="9" t="n">
        <v>2200</v>
      </c>
      <c r="G18" s="10" t="inlineStr"/>
      <c r="H18" s="11" t="inlineStr"/>
    </row>
    <row r="19">
      <c r="A19" s="4" t="inlineStr">
        <is>
          <t>EBIT</t>
        </is>
      </c>
      <c r="B19" s="5" t="n">
        <v>15300</v>
      </c>
      <c r="C19" s="5" t="n">
        <v>17600</v>
      </c>
      <c r="D19" s="5" t="n">
        <v>19800</v>
      </c>
      <c r="E19" s="5" t="n">
        <v>4500</v>
      </c>
      <c r="F19" s="5" t="n">
        <v>4850</v>
      </c>
      <c r="G19" s="6">
        <f>G19-F19</f>
        <v/>
      </c>
      <c r="H19" s="7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0" customWidth="1" min="7" max="7"/>
  </cols>
  <sheetData>
    <row r="1">
      <c r="A1" s="19" t="inlineStr">
        <is>
          <t>Premier Retail — Store-Level KPIs</t>
        </is>
      </c>
    </row>
    <row r="3">
      <c r="A3" s="3" t="inlineStr">
        <is>
          <t>KPI</t>
        </is>
      </c>
      <c r="B3" s="3" t="inlineStr">
        <is>
          <t>FY2022</t>
        </is>
      </c>
      <c r="C3" s="3" t="inlineStr">
        <is>
          <t>FY2023</t>
        </is>
      </c>
      <c r="D3" s="3" t="inlineStr">
        <is>
          <t>FY2024</t>
        </is>
      </c>
      <c r="E3" s="3" t="inlineStr">
        <is>
          <t>Q1'24</t>
        </is>
      </c>
      <c r="F3" s="3" t="inlineStr">
        <is>
          <t>Q1'25</t>
        </is>
      </c>
      <c r="G3" s="3" t="inlineStr">
        <is>
          <t>YoY</t>
        </is>
      </c>
    </row>
    <row r="4">
      <c r="A4" s="20" t="inlineStr">
        <is>
          <t>Total Store Count</t>
        </is>
      </c>
      <c r="B4" s="21" t="n">
        <v>289</v>
      </c>
      <c r="C4" s="21" t="n">
        <v>302</v>
      </c>
      <c r="D4" s="21" t="n">
        <v>316</v>
      </c>
      <c r="E4" s="21" t="n">
        <v>308</v>
      </c>
      <c r="F4" s="21" t="n">
        <v>320</v>
      </c>
      <c r="G4" s="11">
        <f>G4-F4</f>
        <v/>
      </c>
    </row>
    <row r="5">
      <c r="A5" s="15" t="inlineStr">
        <is>
          <t>Comp Store Sales Growth %</t>
        </is>
      </c>
      <c r="B5" s="14" t="n">
        <v>0.032</v>
      </c>
      <c r="C5" s="14" t="n">
        <v>0.041</v>
      </c>
      <c r="D5" s="14" t="n">
        <v>0.038</v>
      </c>
      <c r="E5" s="14" t="n">
        <v>0.034</v>
      </c>
      <c r="F5" s="14" t="n">
        <v>0.041</v>
      </c>
      <c r="G5" s="14">
        <f>(G5-F5)/F5</f>
        <v/>
      </c>
    </row>
    <row r="6">
      <c r="A6" s="20" t="inlineStr">
        <is>
          <t>Avg Sales per Store ($000s)</t>
        </is>
      </c>
      <c r="B6" s="21">
        <f>C5/C4</f>
        <v/>
      </c>
      <c r="C6" s="21">
        <f>D5/D4</f>
        <v/>
      </c>
      <c r="D6" s="21">
        <f>E5/E4</f>
        <v/>
      </c>
      <c r="E6" s="21">
        <f>F5/F4</f>
        <v/>
      </c>
      <c r="F6" s="21">
        <f>G5/G4</f>
        <v/>
      </c>
      <c r="G6" s="11" t="inlineStr"/>
    </row>
    <row r="7">
      <c r="A7" s="15" t="inlineStr">
        <is>
          <t>Sales per Sq Ft ($)</t>
        </is>
      </c>
      <c r="B7" s="22" t="n">
        <v>388</v>
      </c>
      <c r="C7" s="22" t="n">
        <v>401</v>
      </c>
      <c r="D7" s="22" t="n">
        <v>418</v>
      </c>
      <c r="E7" s="22" t="n">
        <v>413</v>
      </c>
      <c r="F7" s="22" t="n">
        <v>431</v>
      </c>
      <c r="G7" s="14">
        <f>(G7-F7)/F7</f>
        <v/>
      </c>
    </row>
    <row r="8">
      <c r="A8" s="20" t="inlineStr">
        <is>
          <t>Avg Transaction Value ($)</t>
        </is>
      </c>
      <c r="B8" s="21" t="n">
        <v>42.1</v>
      </c>
      <c r="C8" s="21" t="n">
        <v>44.3</v>
      </c>
      <c r="D8" s="21" t="n">
        <v>46.8</v>
      </c>
      <c r="E8" s="21" t="n">
        <v>45.9</v>
      </c>
      <c r="F8" s="21" t="n">
        <v>48.2</v>
      </c>
      <c r="G8" s="11">
        <f>(G8-F8)/F8</f>
        <v/>
      </c>
    </row>
    <row r="9">
      <c r="A9" s="15" t="inlineStr">
        <is>
          <t>Transactions per Store/Day</t>
        </is>
      </c>
      <c r="B9" s="22" t="n">
        <v>312</v>
      </c>
      <c r="C9" s="22" t="n">
        <v>318</v>
      </c>
      <c r="D9" s="22" t="n">
        <v>325</v>
      </c>
      <c r="E9" s="22" t="n">
        <v>321</v>
      </c>
      <c r="F9" s="22" t="n">
        <v>334</v>
      </c>
      <c r="G9" s="14" t="inlineStr"/>
    </row>
    <row r="10">
      <c r="A10" s="20" t="inlineStr">
        <is>
          <t>Inventory Turns</t>
        </is>
      </c>
      <c r="B10" s="21" t="n">
        <v>5.8</v>
      </c>
      <c r="C10" s="21" t="n">
        <v>6.1</v>
      </c>
      <c r="D10" s="21" t="n">
        <v>6.4</v>
      </c>
      <c r="E10" s="21" t="n">
        <v>6.2</v>
      </c>
      <c r="F10" s="21" t="n">
        <v>6.6</v>
      </c>
      <c r="G10" s="11" t="inlineStr"/>
    </row>
    <row r="11">
      <c r="A11" s="15" t="inlineStr">
        <is>
          <t>Shrink % of Sales</t>
        </is>
      </c>
      <c r="B11" s="14" t="n">
        <v>0.021</v>
      </c>
      <c r="C11" s="14" t="n">
        <v>0.019</v>
      </c>
      <c r="D11" s="14" t="n">
        <v>0.018</v>
      </c>
      <c r="E11" s="14" t="n">
        <v>0.018</v>
      </c>
      <c r="F11" s="14" t="n">
        <v>0.017</v>
      </c>
      <c r="G11" s="14" t="inlineStr"/>
    </row>
    <row r="12">
      <c r="A12" s="20" t="inlineStr">
        <is>
          <t>New Store Openings</t>
        </is>
      </c>
      <c r="B12" s="21" t="n">
        <v>14</v>
      </c>
      <c r="C12" s="21" t="n">
        <v>13</v>
      </c>
      <c r="D12" s="21" t="n">
        <v>14</v>
      </c>
      <c r="E12" s="21" t="n">
        <v>0</v>
      </c>
      <c r="F12" s="21" t="n">
        <v>4</v>
      </c>
      <c r="G12" s="11" t="inlineStr"/>
    </row>
    <row r="13">
      <c r="A13" s="15" t="inlineStr">
        <is>
          <t>Store Closures</t>
        </is>
      </c>
      <c r="B13" s="22" t="n">
        <v>3</v>
      </c>
      <c r="C13" s="22" t="n">
        <v>0</v>
      </c>
      <c r="D13" s="22" t="n">
        <v>0</v>
      </c>
      <c r="E13" s="22" t="n">
        <v>0</v>
      </c>
      <c r="F13" s="22" t="n">
        <v>0</v>
      </c>
      <c r="G13" s="14" t="inlineStr"/>
    </row>
    <row r="14">
      <c r="A14" s="20" t="inlineStr">
        <is>
          <t>Four-Wall EBITDA per Store ($000s)</t>
        </is>
      </c>
      <c r="B14" s="21">
        <f>C12/C4</f>
        <v/>
      </c>
      <c r="C14" s="21">
        <f>D12/D4</f>
        <v/>
      </c>
      <c r="D14" s="21">
        <f>E12/E4</f>
        <v/>
      </c>
      <c r="E14" s="21">
        <f>F12/F4</f>
        <v/>
      </c>
      <c r="F14" s="21">
        <f>G12/G4</f>
        <v/>
      </c>
      <c r="G14" s="11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9" t="inlineStr">
        <is>
          <t>Premier Retail — DCF</t>
        </is>
      </c>
    </row>
    <row r="3">
      <c r="A3" s="4" t="inlineStr">
        <is>
          <t>Assumptions</t>
        </is>
      </c>
    </row>
    <row r="4">
      <c r="A4" s="15" t="inlineStr">
        <is>
          <t>Revenue Growth Yr1-2</t>
        </is>
      </c>
      <c r="B4" s="23" t="n">
        <v>0.08</v>
      </c>
    </row>
    <row r="5">
      <c r="A5" s="15" t="inlineStr">
        <is>
          <t>Revenue Growth Yr3-5</t>
        </is>
      </c>
      <c r="B5" s="23" t="n">
        <v>0.05</v>
      </c>
    </row>
    <row r="6">
      <c r="A6" s="15" t="inlineStr">
        <is>
          <t>EBITDA Margin</t>
        </is>
      </c>
      <c r="B6" s="23" t="n">
        <v>0.122</v>
      </c>
    </row>
    <row r="7">
      <c r="A7" s="15" t="inlineStr">
        <is>
          <t>D&amp;A % Rev</t>
        </is>
      </c>
      <c r="B7" s="23" t="n">
        <v>0.036</v>
      </c>
    </row>
    <row r="8">
      <c r="A8" s="15" t="inlineStr">
        <is>
          <t>Capex % Rev</t>
        </is>
      </c>
      <c r="B8" s="23" t="n">
        <v>0.042</v>
      </c>
    </row>
    <row r="9">
      <c r="A9" s="15" t="inlineStr">
        <is>
          <t>Tax Rate</t>
        </is>
      </c>
      <c r="B9" s="23" t="n">
        <v>0.27</v>
      </c>
    </row>
    <row r="10">
      <c r="A10" s="15" t="inlineStr">
        <is>
          <t>WACC</t>
        </is>
      </c>
      <c r="B10" s="23" t="n">
        <v>0.1</v>
      </c>
    </row>
    <row r="11">
      <c r="A11" s="15" t="inlineStr">
        <is>
          <t>Terminal Growth</t>
        </is>
      </c>
      <c r="B11" s="23" t="n">
        <v>0.02</v>
      </c>
    </row>
    <row r="14">
      <c r="A14" s="3" t="inlineStr"/>
      <c r="B14" s="3" t="inlineStr">
        <is>
          <t>2025E</t>
        </is>
      </c>
      <c r="C14" s="3" t="inlineStr">
        <is>
          <t>2026E</t>
        </is>
      </c>
      <c r="D14" s="3" t="inlineStr">
        <is>
          <t>2027E</t>
        </is>
      </c>
      <c r="E14" s="3" t="inlineStr">
        <is>
          <t>2028E</t>
        </is>
      </c>
      <c r="F14" s="3" t="inlineStr">
        <is>
          <t>2029E</t>
        </is>
      </c>
    </row>
    <row r="15">
      <c r="A15" s="15" t="inlineStr">
        <is>
          <t>Revenue</t>
        </is>
      </c>
      <c r="B15" s="12">
        <f>231800*(1+$B$4)</f>
        <v/>
      </c>
      <c r="C15" s="12">
        <f>B15*(1+$B$4)</f>
        <v/>
      </c>
      <c r="D15" s="12">
        <f>C15*(1+$B$5)</f>
        <v/>
      </c>
      <c r="E15" s="12">
        <f>D15*(1+$B$5)</f>
        <v/>
      </c>
      <c r="F15" s="12">
        <f>E15*(1+$B$5)</f>
        <v/>
      </c>
    </row>
    <row r="16">
      <c r="A16" s="15" t="inlineStr">
        <is>
          <t>EBITDA</t>
        </is>
      </c>
      <c r="B16" s="12">
        <f>B15*$B$6</f>
        <v/>
      </c>
      <c r="C16" s="12">
        <f>C15*$B$6</f>
        <v/>
      </c>
      <c r="D16" s="12">
        <f>D15*$B$6</f>
        <v/>
      </c>
      <c r="E16" s="12">
        <f>E15*$B$6</f>
        <v/>
      </c>
      <c r="F16" s="12">
        <f>F15*$B$6</f>
        <v/>
      </c>
    </row>
    <row r="17">
      <c r="A17" s="15" t="inlineStr">
        <is>
          <t>D&amp;A</t>
        </is>
      </c>
      <c r="B17" s="12">
        <f>-B15*$B$7</f>
        <v/>
      </c>
      <c r="C17" s="12">
        <f>-C15*$B$7</f>
        <v/>
      </c>
      <c r="D17" s="12">
        <f>-D15*$B$7</f>
        <v/>
      </c>
      <c r="E17" s="12">
        <f>-E15*$B$7</f>
        <v/>
      </c>
      <c r="F17" s="12">
        <f>-F15*$B$7</f>
        <v/>
      </c>
    </row>
    <row r="18">
      <c r="A18" s="15" t="inlineStr">
        <is>
          <t>EBIT</t>
        </is>
      </c>
      <c r="B18" s="12">
        <f>B16+B17</f>
        <v/>
      </c>
      <c r="C18" s="12">
        <f>C16+C17</f>
        <v/>
      </c>
      <c r="D18" s="12">
        <f>D16+D17</f>
        <v/>
      </c>
      <c r="E18" s="12">
        <f>E16+E17</f>
        <v/>
      </c>
      <c r="F18" s="12">
        <f>F16+F17</f>
        <v/>
      </c>
    </row>
    <row r="19">
      <c r="A19" s="15" t="inlineStr">
        <is>
          <t>Tax</t>
        </is>
      </c>
      <c r="B19" s="12">
        <f>-B18*(1-$B$9)</f>
        <v/>
      </c>
      <c r="C19" s="12">
        <f>-C18*(1-$B$9)</f>
        <v/>
      </c>
      <c r="D19" s="12">
        <f>-D18*(1-$B$9)</f>
        <v/>
      </c>
      <c r="E19" s="12">
        <f>-E18*(1-$B$9)</f>
        <v/>
      </c>
      <c r="F19" s="12">
        <f>-F18*(1-$B$9)</f>
        <v/>
      </c>
    </row>
    <row r="20">
      <c r="A20" s="15" t="inlineStr">
        <is>
          <t>Add D&amp;A</t>
        </is>
      </c>
      <c r="B20" s="12">
        <f>-B17</f>
        <v/>
      </c>
      <c r="C20" s="12">
        <f>-C17</f>
        <v/>
      </c>
      <c r="D20" s="12">
        <f>-D17</f>
        <v/>
      </c>
      <c r="E20" s="12">
        <f>-E17</f>
        <v/>
      </c>
      <c r="F20" s="12">
        <f>-F17</f>
        <v/>
      </c>
    </row>
    <row r="21">
      <c r="A21" s="15" t="inlineStr">
        <is>
          <t>Capex</t>
        </is>
      </c>
      <c r="B21" s="12">
        <f>-B15*$B$8</f>
        <v/>
      </c>
      <c r="C21" s="12">
        <f>-C15*$B$8</f>
        <v/>
      </c>
      <c r="D21" s="12">
        <f>-D15*$B$8</f>
        <v/>
      </c>
      <c r="E21" s="12">
        <f>-E15*$B$8</f>
        <v/>
      </c>
      <c r="F21" s="12">
        <f>-F15*$B$8</f>
        <v/>
      </c>
    </row>
    <row r="22">
      <c r="A22" s="4" t="inlineStr">
        <is>
          <t>FCF</t>
        </is>
      </c>
      <c r="B22" s="12">
        <f>SUM(B16:B22)</f>
        <v/>
      </c>
      <c r="C22" s="12">
        <f>SUM(C16:C22)</f>
        <v/>
      </c>
      <c r="D22" s="12">
        <f>SUM(D16:D22)</f>
        <v/>
      </c>
      <c r="E22" s="12">
        <f>SUM(E16:E22)</f>
        <v/>
      </c>
      <c r="F22" s="12">
        <f>SUM(F16:F22)</f>
        <v/>
      </c>
    </row>
    <row r="23">
      <c r="A23" s="15" t="inlineStr">
        <is>
          <t>Disc Factor</t>
        </is>
      </c>
      <c r="B23" s="12">
        <f>1/(1+$B$10)^1</f>
        <v/>
      </c>
      <c r="C23" s="12">
        <f>1/(1+$B$10)^2</f>
        <v/>
      </c>
      <c r="D23" s="12">
        <f>1/(1+$B$10)^3</f>
        <v/>
      </c>
      <c r="E23" s="12">
        <f>1/(1+$B$10)^4</f>
        <v/>
      </c>
      <c r="F23" s="12">
        <f>1/(1+$B$10)^5</f>
        <v/>
      </c>
    </row>
    <row r="24">
      <c r="A24" s="15" t="inlineStr">
        <is>
          <t>PV FCF</t>
        </is>
      </c>
      <c r="B24" s="12">
        <f>B23*B24</f>
        <v/>
      </c>
      <c r="C24" s="12">
        <f>C23*C24</f>
        <v/>
      </c>
      <c r="D24" s="12">
        <f>D23*D24</f>
        <v/>
      </c>
      <c r="E24" s="12">
        <f>E23*E24</f>
        <v/>
      </c>
      <c r="F24" s="12">
        <f>F23*F24</f>
        <v/>
      </c>
    </row>
    <row r="26">
      <c r="A26" s="24" t="inlineStr">
        <is>
          <t>Valuation Summary</t>
        </is>
      </c>
    </row>
    <row r="27">
      <c r="A27" s="15" t="inlineStr">
        <is>
          <t>PV FCFs</t>
        </is>
      </c>
      <c r="B27" s="12">
        <f>SUM(B25:F25)</f>
        <v/>
      </c>
    </row>
    <row r="28">
      <c r="A28" s="15" t="inlineStr">
        <is>
          <t>Terminal Value</t>
        </is>
      </c>
      <c r="B28" s="12">
        <f>F23*(1+$B$11)/($B$10-$B$11)</f>
        <v/>
      </c>
    </row>
    <row r="29">
      <c r="A29" s="15" t="inlineStr">
        <is>
          <t>PV TV</t>
        </is>
      </c>
      <c r="B29" s="12">
        <f>B28/(1+$B$10)^5</f>
        <v/>
      </c>
    </row>
    <row r="30">
      <c r="A30" s="4" t="inlineStr">
        <is>
          <t>EV</t>
        </is>
      </c>
      <c r="B30" s="5">
        <f>B27+B29</f>
        <v/>
      </c>
    </row>
    <row r="31">
      <c r="A31" s="15" t="inlineStr">
        <is>
          <t>Net Debt</t>
        </is>
      </c>
      <c r="B31" s="12" t="n">
        <v>-18400</v>
      </c>
    </row>
    <row r="32">
      <c r="A32" s="4" t="inlineStr">
        <is>
          <t>Equity Value</t>
        </is>
      </c>
      <c r="B32" s="5">
        <f>B30+B31</f>
        <v/>
      </c>
    </row>
  </sheetData>
  <mergeCells count="2">
    <mergeCell ref="A26:C2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2026-04-25T03:48:15Z</dcterms:created>
  <dcterms:modified xmlns:dcterms="http://purl.org/dc/terms/" xmlns:xsi="http://www.w3.org/2001/XMLSchema-instance" xsi:type="dcterms:W3CDTF">2026-04-25T03:48:15Z</dcterms:modified>
</cp:coreProperties>
</file>
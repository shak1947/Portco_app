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Operational KPIs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#,##0.0;(#,##0.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595959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2E75B6"/>
      <sz val="10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65" fontId="6" fillId="3" borderId="0" applyAlignment="1" pivotButton="0" quotePrefix="0" xfId="0">
      <alignment horizontal="right"/>
    </xf>
    <xf numFmtId="166" fontId="6" fillId="3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Apex Industrial Manufacturing Corp</t>
        </is>
      </c>
    </row>
    <row r="2">
      <c r="A2" s="2" t="inlineStr">
        <is>
          <t>Management Accounts — Year to Date Q1 2025 vs Prior Year | $000s</t>
        </is>
      </c>
    </row>
    <row r="4">
      <c r="A4" s="3" t="inlineStr"/>
      <c r="B4" s="3" t="inlineStr">
        <is>
          <t>FY2022A</t>
        </is>
      </c>
      <c r="C4" s="3" t="inlineStr">
        <is>
          <t>FY2023A</t>
        </is>
      </c>
      <c r="D4" s="3" t="inlineStr">
        <is>
          <t>FY2024A</t>
        </is>
      </c>
      <c r="E4" s="3" t="inlineStr">
        <is>
          <t>Q1'24A</t>
        </is>
      </c>
      <c r="F4" s="3" t="inlineStr">
        <is>
          <t>Q1'25A</t>
        </is>
      </c>
      <c r="G4" s="3" t="inlineStr">
        <is>
          <t>YoY %</t>
        </is>
      </c>
    </row>
    <row r="5">
      <c r="A5" s="4" t="inlineStr">
        <is>
          <t>REVENUE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 xml:space="preserve">  OEM Components</t>
        </is>
      </c>
      <c r="B6" s="7" t="n">
        <v>62100</v>
      </c>
      <c r="C6" s="7" t="n">
        <v>71800</v>
      </c>
      <c r="D6" s="7" t="n">
        <v>79200</v>
      </c>
      <c r="E6" s="7" t="n">
        <v>19400</v>
      </c>
      <c r="F6" s="7" t="n">
        <v>21100</v>
      </c>
      <c r="G6" s="8">
        <f>(G6-F6)/F6</f>
        <v/>
      </c>
    </row>
    <row r="7">
      <c r="A7" s="6" t="inlineStr">
        <is>
          <t xml:space="preserve">  Aftermarket Parts</t>
        </is>
      </c>
      <c r="B7" s="7" t="n">
        <v>28400</v>
      </c>
      <c r="C7" s="7" t="n">
        <v>31200</v>
      </c>
      <c r="D7" s="7" t="n">
        <v>34800</v>
      </c>
      <c r="E7" s="7" t="n">
        <v>8600</v>
      </c>
      <c r="F7" s="7" t="n">
        <v>9200</v>
      </c>
      <c r="G7" s="8">
        <f>(G7-F7)/F7</f>
        <v/>
      </c>
    </row>
    <row r="8">
      <c r="A8" s="6" t="inlineStr">
        <is>
          <t xml:space="preserve">  Contract Manufacturing</t>
        </is>
      </c>
      <c r="B8" s="7" t="n">
        <v>14200</v>
      </c>
      <c r="C8" s="7" t="n">
        <v>15900</v>
      </c>
      <c r="D8" s="7" t="n">
        <v>17400</v>
      </c>
      <c r="E8" s="7" t="n">
        <v>4300</v>
      </c>
      <c r="F8" s="7" t="n">
        <v>4600</v>
      </c>
      <c r="G8" s="8">
        <f>(G8-F8)/F8</f>
        <v/>
      </c>
    </row>
    <row r="9">
      <c r="A9" s="9" t="inlineStr">
        <is>
          <t>Total Revenue</t>
        </is>
      </c>
      <c r="B9" s="10" t="n">
        <v>104700</v>
      </c>
      <c r="C9" s="10" t="n">
        <v>118900</v>
      </c>
      <c r="D9" s="10" t="n">
        <v>131400</v>
      </c>
      <c r="E9" s="10" t="n">
        <v>32300</v>
      </c>
      <c r="F9" s="10" t="n">
        <v>34900</v>
      </c>
      <c r="G9" s="11">
        <f>(G9-F9)/F9</f>
        <v/>
      </c>
    </row>
    <row r="10">
      <c r="A10" s="4" t="inlineStr">
        <is>
          <t>COST OF GOODS SOLD</t>
        </is>
      </c>
      <c r="B10" s="5" t="n"/>
      <c r="C10" s="5" t="n"/>
      <c r="D10" s="5" t="n"/>
      <c r="E10" s="5" t="n"/>
      <c r="F10" s="5" t="n"/>
      <c r="G10" s="5" t="n"/>
    </row>
    <row r="11">
      <c r="A11" s="6" t="inlineStr">
        <is>
          <t xml:space="preserve">  Direct Materials</t>
        </is>
      </c>
      <c r="B11" s="7" t="n">
        <v>41800</v>
      </c>
      <c r="C11" s="7" t="n">
        <v>47600</v>
      </c>
      <c r="D11" s="7" t="n">
        <v>52600</v>
      </c>
      <c r="E11" s="7" t="n">
        <v>12900</v>
      </c>
      <c r="F11" s="7" t="n">
        <v>13900</v>
      </c>
      <c r="G11" s="8" t="inlineStr"/>
    </row>
    <row r="12">
      <c r="A12" s="6" t="inlineStr">
        <is>
          <t xml:space="preserve">  Direct Labor</t>
        </is>
      </c>
      <c r="B12" s="7" t="n">
        <v>18200</v>
      </c>
      <c r="C12" s="7" t="n">
        <v>20400</v>
      </c>
      <c r="D12" s="7" t="n">
        <v>22400</v>
      </c>
      <c r="E12" s="7" t="n">
        <v>5500</v>
      </c>
      <c r="F12" s="7" t="n">
        <v>5900</v>
      </c>
      <c r="G12" s="8" t="inlineStr"/>
    </row>
    <row r="13">
      <c r="A13" s="6" t="inlineStr">
        <is>
          <t xml:space="preserve">  Manufacturing Overhead</t>
        </is>
      </c>
      <c r="B13" s="7" t="n">
        <v>12100</v>
      </c>
      <c r="C13" s="7" t="n">
        <v>13800</v>
      </c>
      <c r="D13" s="7" t="n">
        <v>15200</v>
      </c>
      <c r="E13" s="7" t="n">
        <v>3700</v>
      </c>
      <c r="F13" s="7" t="n">
        <v>3900</v>
      </c>
      <c r="G13" s="8" t="inlineStr"/>
    </row>
    <row r="14">
      <c r="A14" s="12" t="inlineStr">
        <is>
          <t>Total COGS</t>
        </is>
      </c>
      <c r="B14" s="7" t="n">
        <v>72100</v>
      </c>
      <c r="C14" s="7" t="n">
        <v>81800</v>
      </c>
      <c r="D14" s="7" t="n">
        <v>90200</v>
      </c>
      <c r="E14" s="7" t="n">
        <v>22100</v>
      </c>
      <c r="F14" s="7" t="n">
        <v>23700</v>
      </c>
      <c r="G14" s="8">
        <f>(G14-F14)/F14</f>
        <v/>
      </c>
    </row>
    <row r="15">
      <c r="A15" s="9" t="inlineStr">
        <is>
          <t>Gross Profit</t>
        </is>
      </c>
      <c r="B15" s="10" t="n">
        <v>32600</v>
      </c>
      <c r="C15" s="10" t="n">
        <v>37100</v>
      </c>
      <c r="D15" s="10" t="n">
        <v>41200</v>
      </c>
      <c r="E15" s="10" t="n">
        <v>10200</v>
      </c>
      <c r="F15" s="10" t="n">
        <v>11200</v>
      </c>
      <c r="G15" s="11">
        <f>(G15-F15)/F15</f>
        <v/>
      </c>
    </row>
    <row r="16">
      <c r="A16" s="12" t="inlineStr">
        <is>
          <t>Gross Margin %</t>
        </is>
      </c>
      <c r="B16" s="8">
        <f>C15/C9</f>
        <v/>
      </c>
      <c r="C16" s="8">
        <f>D15/D9</f>
        <v/>
      </c>
      <c r="D16" s="8">
        <f>E15/E9</f>
        <v/>
      </c>
      <c r="E16" s="8">
        <f>F15/F9</f>
        <v/>
      </c>
      <c r="F16" s="8">
        <f>G15/G9</f>
        <v/>
      </c>
      <c r="G16" s="8" t="inlineStr"/>
    </row>
    <row r="17">
      <c r="A17" s="4" t="inlineStr">
        <is>
          <t>OPERATING EXPENSES</t>
        </is>
      </c>
      <c r="B17" s="5" t="n"/>
      <c r="C17" s="5" t="n"/>
      <c r="D17" s="5" t="n"/>
      <c r="E17" s="5" t="n"/>
      <c r="F17" s="5" t="n"/>
      <c r="G17" s="5" t="n"/>
    </row>
    <row r="18">
      <c r="A18" s="6" t="inlineStr">
        <is>
          <t xml:space="preserve">  SG&amp;A</t>
        </is>
      </c>
      <c r="B18" s="7" t="n">
        <v>8100</v>
      </c>
      <c r="C18" s="7" t="n">
        <v>9200</v>
      </c>
      <c r="D18" s="7" t="n">
        <v>10100</v>
      </c>
      <c r="E18" s="7" t="n">
        <v>2500</v>
      </c>
      <c r="F18" s="7" t="n">
        <v>2700</v>
      </c>
      <c r="G18" s="8" t="inlineStr"/>
    </row>
    <row r="19">
      <c r="A19" s="6" t="inlineStr">
        <is>
          <t xml:space="preserve">  R&amp;D / Engineering</t>
        </is>
      </c>
      <c r="B19" s="7" t="n">
        <v>4200</v>
      </c>
      <c r="C19" s="7" t="n">
        <v>4800</v>
      </c>
      <c r="D19" s="7" t="n">
        <v>5300</v>
      </c>
      <c r="E19" s="7" t="n">
        <v>1300</v>
      </c>
      <c r="F19" s="7" t="n">
        <v>1400</v>
      </c>
      <c r="G19" s="8" t="inlineStr"/>
    </row>
    <row r="20">
      <c r="A20" s="6" t="inlineStr">
        <is>
          <t xml:space="preserve">  Other Operating</t>
        </is>
      </c>
      <c r="B20" s="7" t="n">
        <v>1200</v>
      </c>
      <c r="C20" s="7" t="n">
        <v>1300</v>
      </c>
      <c r="D20" s="7" t="n">
        <v>1400</v>
      </c>
      <c r="E20" s="7" t="n">
        <v>340</v>
      </c>
      <c r="F20" s="7" t="n">
        <v>360</v>
      </c>
      <c r="G20" s="8" t="inlineStr"/>
    </row>
    <row r="21">
      <c r="A21" s="12" t="inlineStr">
        <is>
          <t>Total Operating Expenses</t>
        </is>
      </c>
      <c r="B21" s="7" t="n">
        <v>13500</v>
      </c>
      <c r="C21" s="7" t="n">
        <v>15300</v>
      </c>
      <c r="D21" s="7" t="n">
        <v>16800</v>
      </c>
      <c r="E21" s="7" t="n">
        <v>4140</v>
      </c>
      <c r="F21" s="7" t="n">
        <v>4460</v>
      </c>
      <c r="G21" s="8" t="inlineStr"/>
    </row>
    <row r="22">
      <c r="A22" s="9" t="inlineStr">
        <is>
          <t>EBIT</t>
        </is>
      </c>
      <c r="B22" s="10" t="n">
        <v>19100</v>
      </c>
      <c r="C22" s="10" t="n">
        <v>21800</v>
      </c>
      <c r="D22" s="10" t="n">
        <v>24400</v>
      </c>
      <c r="E22" s="10" t="n">
        <v>6060</v>
      </c>
      <c r="F22" s="10" t="n">
        <v>6740</v>
      </c>
      <c r="G22" s="11">
        <f>(G20-F20)/F20</f>
        <v/>
      </c>
    </row>
    <row r="23">
      <c r="A23" s="12" t="inlineStr">
        <is>
          <t>D&amp;A</t>
        </is>
      </c>
      <c r="B23" s="7" t="n">
        <v>4800</v>
      </c>
      <c r="C23" s="7" t="n">
        <v>5400</v>
      </c>
      <c r="D23" s="7" t="n">
        <v>6000</v>
      </c>
      <c r="E23" s="7" t="n">
        <v>1500</v>
      </c>
      <c r="F23" s="7" t="n">
        <v>1580</v>
      </c>
      <c r="G23" s="8" t="inlineStr"/>
    </row>
    <row r="24">
      <c r="A24" s="9" t="inlineStr">
        <is>
          <t>Reported EBITDA</t>
        </is>
      </c>
      <c r="B24" s="10" t="n">
        <v>23900</v>
      </c>
      <c r="C24" s="10" t="n">
        <v>27200</v>
      </c>
      <c r="D24" s="10" t="n">
        <v>30400</v>
      </c>
      <c r="E24" s="10" t="n">
        <v>7560</v>
      </c>
      <c r="F24" s="10" t="n">
        <v>8320</v>
      </c>
      <c r="G24" s="11">
        <f>(G22-F22)/F22</f>
        <v/>
      </c>
    </row>
    <row r="25">
      <c r="A25" s="4" t="inlineStr">
        <is>
          <t>EBITDA ADJUSTMENTS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 xml:space="preserve">  Restructuring Charges</t>
        </is>
      </c>
      <c r="B26" s="7" t="n">
        <v>800</v>
      </c>
      <c r="C26" s="7" t="n">
        <v>400</v>
      </c>
      <c r="D26" s="7" t="n">
        <v>200</v>
      </c>
      <c r="E26" s="7" t="n">
        <v>0</v>
      </c>
      <c r="F26" s="7" t="n">
        <v>50</v>
      </c>
      <c r="G26" s="8" t="inlineStr"/>
    </row>
    <row r="27">
      <c r="A27" s="6" t="inlineStr">
        <is>
          <t xml:space="preserve">  M&amp;A Transaction Costs</t>
        </is>
      </c>
      <c r="B27" s="7" t="n">
        <v>600</v>
      </c>
      <c r="C27" s="7" t="n">
        <v>300</v>
      </c>
      <c r="D27" s="7" t="n">
        <v>100</v>
      </c>
      <c r="E27" s="7" t="n">
        <v>0</v>
      </c>
      <c r="F27" s="7" t="n">
        <v>200</v>
      </c>
      <c r="G27" s="8" t="inlineStr"/>
    </row>
    <row r="28">
      <c r="A28" s="6" t="inlineStr">
        <is>
          <t xml:space="preserve">  Non-cash Stock Comp</t>
        </is>
      </c>
      <c r="B28" s="7" t="n">
        <v>900</v>
      </c>
      <c r="C28" s="7" t="n">
        <v>1000</v>
      </c>
      <c r="D28" s="7" t="n">
        <v>1100</v>
      </c>
      <c r="E28" s="7" t="n">
        <v>275</v>
      </c>
      <c r="F28" s="7" t="n">
        <v>290</v>
      </c>
      <c r="G28" s="8" t="inlineStr"/>
    </row>
    <row r="29">
      <c r="A29" s="6" t="inlineStr">
        <is>
          <t xml:space="preserve">  One-time Legal Settlement</t>
        </is>
      </c>
      <c r="B29" s="7" t="n">
        <v>1200</v>
      </c>
      <c r="C29" s="7" t="n">
        <v>0</v>
      </c>
      <c r="D29" s="7" t="n">
        <v>0</v>
      </c>
      <c r="E29" s="7" t="n">
        <v>0</v>
      </c>
      <c r="F29" s="7" t="n">
        <v>0</v>
      </c>
      <c r="G29" s="8" t="inlineStr"/>
    </row>
    <row r="30">
      <c r="A30" s="12" t="inlineStr">
        <is>
          <t>Total Add-backs</t>
        </is>
      </c>
      <c r="B30" s="7" t="n">
        <v>3500</v>
      </c>
      <c r="C30" s="7" t="n">
        <v>1700</v>
      </c>
      <c r="D30" s="7" t="n">
        <v>1400</v>
      </c>
      <c r="E30" s="7" t="n">
        <v>275</v>
      </c>
      <c r="F30" s="7" t="n">
        <v>540</v>
      </c>
      <c r="G30" s="8" t="inlineStr"/>
    </row>
    <row r="31">
      <c r="A31" s="9" t="inlineStr">
        <is>
          <t>ADJUSTED EBITDA</t>
        </is>
      </c>
      <c r="B31" s="10" t="n">
        <v>27400</v>
      </c>
      <c r="C31" s="10" t="n">
        <v>28900</v>
      </c>
      <c r="D31" s="10" t="n">
        <v>31800</v>
      </c>
      <c r="E31" s="10" t="n">
        <v>7835</v>
      </c>
      <c r="F31" s="10" t="n">
        <v>8860</v>
      </c>
      <c r="G31" s="11">
        <f>(G28-F28)/F28</f>
        <v/>
      </c>
    </row>
    <row r="32">
      <c r="A32" s="12" t="inlineStr">
        <is>
          <t>Adj. EBITDA Margin %</t>
        </is>
      </c>
      <c r="B32" s="8">
        <f>C28/C9</f>
        <v/>
      </c>
      <c r="C32" s="8">
        <f>D28/D9</f>
        <v/>
      </c>
      <c r="D32" s="8">
        <f>E28/E9</f>
        <v/>
      </c>
      <c r="E32" s="8">
        <f>F28/F9</f>
        <v/>
      </c>
      <c r="F32" s="8">
        <f>G28/G9</f>
        <v/>
      </c>
      <c r="G32" s="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>
      <c r="A1" s="13" t="inlineStr">
        <is>
          <t>Apex Industrial — Operational Metrics</t>
        </is>
      </c>
    </row>
    <row r="3">
      <c r="A3" s="3" t="inlineStr">
        <is>
          <t>Metric</t>
        </is>
      </c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  <c r="E3" s="3" t="inlineStr">
        <is>
          <t>Q1'24</t>
        </is>
      </c>
      <c r="F3" s="3" t="inlineStr">
        <is>
          <t>Q1'25</t>
        </is>
      </c>
      <c r="G3" s="3" t="inlineStr">
        <is>
          <t>YoY</t>
        </is>
      </c>
    </row>
    <row r="4">
      <c r="A4" s="14" t="inlineStr">
        <is>
          <t>OEE (Overall Equipment Effectiveness) %</t>
        </is>
      </c>
      <c r="B4" s="15" t="n">
        <v>0.781</v>
      </c>
      <c r="C4" s="15" t="n">
        <v>0.802</v>
      </c>
      <c r="D4" s="15" t="n">
        <v>0.819</v>
      </c>
      <c r="E4" s="15" t="n">
        <v>0.8139999999999999</v>
      </c>
      <c r="F4" s="15" t="n">
        <v>0.831</v>
      </c>
      <c r="G4" s="15">
        <f>(G4-F4)/F4</f>
        <v/>
      </c>
    </row>
    <row r="5">
      <c r="A5" s="12" t="inlineStr">
        <is>
          <t>On-Time Delivery %</t>
        </is>
      </c>
      <c r="B5" s="8" t="n">
        <v>0.912</v>
      </c>
      <c r="C5" s="8" t="n">
        <v>0.924</v>
      </c>
      <c r="D5" s="8" t="n">
        <v>0.9379999999999999</v>
      </c>
      <c r="E5" s="8" t="n">
        <v>0.931</v>
      </c>
      <c r="F5" s="8" t="n">
        <v>0.944</v>
      </c>
      <c r="G5" s="8" t="inlineStr"/>
    </row>
    <row r="6">
      <c r="A6" s="14" t="inlineStr">
        <is>
          <t>Defect Rate (PPM)</t>
        </is>
      </c>
      <c r="B6" s="16" t="n">
        <v>820</v>
      </c>
      <c r="C6" s="16" t="n">
        <v>710</v>
      </c>
      <c r="D6" s="16" t="n">
        <v>640</v>
      </c>
      <c r="E6" s="16" t="n">
        <v>660</v>
      </c>
      <c r="F6" s="16" t="n">
        <v>610</v>
      </c>
      <c r="G6" s="15" t="inlineStr"/>
    </row>
    <row r="7">
      <c r="A7" s="12" t="inlineStr">
        <is>
          <t>Inventory Turns</t>
        </is>
      </c>
      <c r="B7" s="17" t="n">
        <v>6.2</v>
      </c>
      <c r="C7" s="17" t="n">
        <v>6.6</v>
      </c>
      <c r="D7" s="17" t="n">
        <v>7.1</v>
      </c>
      <c r="E7" s="17" t="n">
        <v>6.9</v>
      </c>
      <c r="F7" s="17" t="n">
        <v>7.4</v>
      </c>
      <c r="G7" s="8" t="inlineStr"/>
    </row>
    <row r="8">
      <c r="A8" s="14" t="inlineStr">
        <is>
          <t>Days Sales Outstanding</t>
        </is>
      </c>
      <c r="B8" s="16" t="n">
        <v>42</v>
      </c>
      <c r="C8" s="16" t="n">
        <v>39</v>
      </c>
      <c r="D8" s="16" t="n">
        <v>37</v>
      </c>
      <c r="E8" s="16" t="n">
        <v>38</v>
      </c>
      <c r="F8" s="16" t="n">
        <v>36</v>
      </c>
      <c r="G8" s="15" t="inlineStr"/>
    </row>
    <row r="9">
      <c r="A9" s="12" t="inlineStr">
        <is>
          <t>Capacity Utilization %</t>
        </is>
      </c>
      <c r="B9" s="8" t="n">
        <v>0.8120000000000001</v>
      </c>
      <c r="C9" s="8" t="n">
        <v>0.831</v>
      </c>
      <c r="D9" s="8" t="n">
        <v>0.849</v>
      </c>
      <c r="E9" s="8" t="n">
        <v>0.842</v>
      </c>
      <c r="F9" s="8" t="n">
        <v>0.861</v>
      </c>
      <c r="G9" s="8" t="inlineStr"/>
    </row>
    <row r="10">
      <c r="A10" s="14" t="inlineStr">
        <is>
          <t>Headcount (Production)</t>
        </is>
      </c>
      <c r="B10" s="16" t="n">
        <v>612</v>
      </c>
      <c r="C10" s="16" t="n">
        <v>638</v>
      </c>
      <c r="D10" s="16" t="n">
        <v>661</v>
      </c>
      <c r="E10" s="16" t="n">
        <v>654</v>
      </c>
      <c r="F10" s="16" t="n">
        <v>672</v>
      </c>
      <c r="G10" s="15" t="inlineStr"/>
    </row>
    <row r="11">
      <c r="A11" s="12" t="inlineStr">
        <is>
          <t>Revenue per Production Employee ($000s)</t>
        </is>
      </c>
      <c r="B11" s="17">
        <f>C9/C12</f>
        <v/>
      </c>
      <c r="C11" s="17">
        <f>D9/D12</f>
        <v/>
      </c>
      <c r="D11" s="17">
        <f>E9/E12</f>
        <v/>
      </c>
      <c r="E11" s="17">
        <f>F9/F12</f>
        <v/>
      </c>
      <c r="F11" s="17">
        <f>G9/G12</f>
        <v/>
      </c>
      <c r="G11" s="8" t="inlineStr"/>
    </row>
    <row r="12">
      <c r="A12" s="14" t="inlineStr">
        <is>
          <t>Scrap % of Revenue</t>
        </is>
      </c>
      <c r="B12" s="15" t="n">
        <v>0.028</v>
      </c>
      <c r="C12" s="15" t="n">
        <v>0.024</v>
      </c>
      <c r="D12" s="15" t="n">
        <v>0.021</v>
      </c>
      <c r="E12" s="15" t="n">
        <v>0.022</v>
      </c>
      <c r="F12" s="15" t="n">
        <v>0.019</v>
      </c>
      <c r="G12" s="1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3" t="inlineStr">
        <is>
          <t>Apex Industrial — DCF Valuation</t>
        </is>
      </c>
    </row>
    <row r="3">
      <c r="A3" s="9" t="inlineStr">
        <is>
          <t>Assumptions</t>
        </is>
      </c>
    </row>
    <row r="4">
      <c r="A4" s="12" t="inlineStr">
        <is>
          <t>Revenue Growth Yr1-2</t>
        </is>
      </c>
      <c r="B4" s="18" t="n">
        <v>0.07000000000000001</v>
      </c>
    </row>
    <row r="5">
      <c r="A5" s="12" t="inlineStr">
        <is>
          <t>Revenue Growth Yr3-5</t>
        </is>
      </c>
      <c r="B5" s="18" t="n">
        <v>0.05</v>
      </c>
    </row>
    <row r="6">
      <c r="A6" s="12" t="inlineStr">
        <is>
          <t>Adj EBITDA Margin</t>
        </is>
      </c>
      <c r="B6" s="18" t="n">
        <v>0.242</v>
      </c>
    </row>
    <row r="7">
      <c r="A7" s="12" t="inlineStr">
        <is>
          <t>D&amp;A % Rev</t>
        </is>
      </c>
      <c r="B7" s="18" t="n">
        <v>0.046</v>
      </c>
    </row>
    <row r="8">
      <c r="A8" s="12" t="inlineStr">
        <is>
          <t>Capex % Rev</t>
        </is>
      </c>
      <c r="B8" s="18" t="n">
        <v>0.054</v>
      </c>
    </row>
    <row r="9">
      <c r="A9" s="12" t="inlineStr">
        <is>
          <t>NWC % Rev</t>
        </is>
      </c>
      <c r="B9" s="18" t="n">
        <v>0.012</v>
      </c>
    </row>
    <row r="10">
      <c r="A10" s="12" t="inlineStr">
        <is>
          <t>Tax Rate</t>
        </is>
      </c>
      <c r="B10" s="18" t="n">
        <v>0.25</v>
      </c>
    </row>
    <row r="11">
      <c r="A11" s="12" t="inlineStr">
        <is>
          <t>WACC</t>
        </is>
      </c>
      <c r="B11" s="18" t="n">
        <v>0.11</v>
      </c>
    </row>
    <row r="12">
      <c r="A12" s="12" t="inlineStr">
        <is>
          <t>Terminal Growth</t>
        </is>
      </c>
      <c r="B12" s="18" t="n">
        <v>0.025</v>
      </c>
    </row>
    <row r="15">
      <c r="A15" s="3" t="inlineStr"/>
      <c r="B15" s="3" t="inlineStr">
        <is>
          <t>2025E</t>
        </is>
      </c>
      <c r="C15" s="3" t="inlineStr">
        <is>
          <t>2026E</t>
        </is>
      </c>
      <c r="D15" s="3" t="inlineStr">
        <is>
          <t>2027E</t>
        </is>
      </c>
      <c r="E15" s="3" t="inlineStr">
        <is>
          <t>2028E</t>
        </is>
      </c>
      <c r="F15" s="3" t="inlineStr">
        <is>
          <t>2029E</t>
        </is>
      </c>
    </row>
    <row r="16">
      <c r="A16" s="12" t="inlineStr">
        <is>
          <t>Revenue</t>
        </is>
      </c>
      <c r="B16" s="7">
        <f>131400*(1+$B$4)</f>
        <v/>
      </c>
      <c r="C16" s="7">
        <f>B16*(1+$B$4)</f>
        <v/>
      </c>
      <c r="D16" s="7">
        <f>C16*(1+$B$5)</f>
        <v/>
      </c>
      <c r="E16" s="7">
        <f>D16*(1+$B$5)</f>
        <v/>
      </c>
      <c r="F16" s="7">
        <f>E16*(1+$B$5)</f>
        <v/>
      </c>
    </row>
    <row r="17">
      <c r="A17" s="12" t="inlineStr">
        <is>
          <t>Adj EBITDA</t>
        </is>
      </c>
      <c r="B17" s="7">
        <f>B16*$B$6</f>
        <v/>
      </c>
      <c r="C17" s="7">
        <f>C16*$B$6</f>
        <v/>
      </c>
      <c r="D17" s="7">
        <f>D16*$B$6</f>
        <v/>
      </c>
      <c r="E17" s="7">
        <f>E16*$B$6</f>
        <v/>
      </c>
      <c r="F17" s="7">
        <f>F16*$B$6</f>
        <v/>
      </c>
    </row>
    <row r="18">
      <c r="A18" s="12" t="inlineStr">
        <is>
          <t>D&amp;A</t>
        </is>
      </c>
      <c r="B18" s="7">
        <f>-B16*$B$7</f>
        <v/>
      </c>
      <c r="C18" s="7">
        <f>-C16*$B$7</f>
        <v/>
      </c>
      <c r="D18" s="7">
        <f>-D16*$B$7</f>
        <v/>
      </c>
      <c r="E18" s="7">
        <f>-E16*$B$7</f>
        <v/>
      </c>
      <c r="F18" s="7">
        <f>-F16*$B$7</f>
        <v/>
      </c>
    </row>
    <row r="19">
      <c r="A19" s="12" t="inlineStr">
        <is>
          <t>EBIT</t>
        </is>
      </c>
      <c r="B19" s="7">
        <f>B17+B18</f>
        <v/>
      </c>
      <c r="C19" s="7">
        <f>C17+C18</f>
        <v/>
      </c>
      <c r="D19" s="7">
        <f>D17+D18</f>
        <v/>
      </c>
      <c r="E19" s="7">
        <f>E17+E18</f>
        <v/>
      </c>
      <c r="F19" s="7">
        <f>F17+F18</f>
        <v/>
      </c>
    </row>
    <row r="20">
      <c r="A20" s="12" t="inlineStr">
        <is>
          <t>Tax</t>
        </is>
      </c>
      <c r="B20" s="7">
        <f>-B19*(1-$B$10)</f>
        <v/>
      </c>
      <c r="C20" s="7">
        <f>-C19*(1-$B$10)</f>
        <v/>
      </c>
      <c r="D20" s="7">
        <f>-D19*(1-$B$10)</f>
        <v/>
      </c>
      <c r="E20" s="7">
        <f>-E19*(1-$B$10)</f>
        <v/>
      </c>
      <c r="F20" s="7">
        <f>-F19*(1-$B$10)</f>
        <v/>
      </c>
    </row>
    <row r="21">
      <c r="A21" s="12" t="inlineStr">
        <is>
          <t>Add D&amp;A</t>
        </is>
      </c>
      <c r="B21" s="7">
        <f>-B18</f>
        <v/>
      </c>
      <c r="C21" s="7">
        <f>-C18</f>
        <v/>
      </c>
      <c r="D21" s="7">
        <f>-D18</f>
        <v/>
      </c>
      <c r="E21" s="7">
        <f>-E18</f>
        <v/>
      </c>
      <c r="F21" s="7">
        <f>-F18</f>
        <v/>
      </c>
    </row>
    <row r="22">
      <c r="A22" s="12" t="inlineStr">
        <is>
          <t>Capex</t>
        </is>
      </c>
      <c r="B22" s="7">
        <f>-B16*$B$8</f>
        <v/>
      </c>
      <c r="C22" s="7">
        <f>-C16*$B$8</f>
        <v/>
      </c>
      <c r="D22" s="7">
        <f>-D16*$B$8</f>
        <v/>
      </c>
      <c r="E22" s="7">
        <f>-E16*$B$8</f>
        <v/>
      </c>
      <c r="F22" s="7">
        <f>-F16*$B$8</f>
        <v/>
      </c>
    </row>
    <row r="23">
      <c r="A23" s="12" t="inlineStr">
        <is>
          <t>NWC Change</t>
        </is>
      </c>
      <c r="B23" s="7">
        <f>-B16*$B$9</f>
        <v/>
      </c>
      <c r="C23" s="7">
        <f>-C16*$B$9</f>
        <v/>
      </c>
      <c r="D23" s="7">
        <f>-D16*$B$9</f>
        <v/>
      </c>
      <c r="E23" s="7">
        <f>-E16*$B$9</f>
        <v/>
      </c>
      <c r="F23" s="7">
        <f>-F16*$B$9</f>
        <v/>
      </c>
    </row>
    <row r="24">
      <c r="A24" s="9" t="inlineStr">
        <is>
          <t>FCF</t>
        </is>
      </c>
      <c r="B24" s="7">
        <f>SUM(B17:B24)</f>
        <v/>
      </c>
      <c r="C24" s="7">
        <f>SUM(C17:C24)</f>
        <v/>
      </c>
      <c r="D24" s="7">
        <f>SUM(D17:D24)</f>
        <v/>
      </c>
      <c r="E24" s="7">
        <f>SUM(E17:E24)</f>
        <v/>
      </c>
      <c r="F24" s="7">
        <f>SUM(F17:F24)</f>
        <v/>
      </c>
    </row>
    <row r="25">
      <c r="A25" s="12" t="inlineStr">
        <is>
          <t>Disc Factor</t>
        </is>
      </c>
      <c r="B25" s="7">
        <f>1/(1+$B$11)^1</f>
        <v/>
      </c>
      <c r="C25" s="7">
        <f>1/(1+$B$11)^2</f>
        <v/>
      </c>
      <c r="D25" s="7">
        <f>1/(1+$B$11)^3</f>
        <v/>
      </c>
      <c r="E25" s="7">
        <f>1/(1+$B$11)^4</f>
        <v/>
      </c>
      <c r="F25" s="7">
        <f>1/(1+$B$11)^5</f>
        <v/>
      </c>
    </row>
    <row r="26">
      <c r="A26" s="12" t="inlineStr">
        <is>
          <t>PV FCF</t>
        </is>
      </c>
      <c r="B26" s="7">
        <f>B25*B26</f>
        <v/>
      </c>
      <c r="C26" s="7">
        <f>C25*C26</f>
        <v/>
      </c>
      <c r="D26" s="7">
        <f>D25*D26</f>
        <v/>
      </c>
      <c r="E26" s="7">
        <f>E25*E26</f>
        <v/>
      </c>
      <c r="F26" s="7">
        <f>F25*F26</f>
        <v/>
      </c>
    </row>
    <row r="28">
      <c r="A28" s="19" t="inlineStr">
        <is>
          <t>EV Summary</t>
        </is>
      </c>
    </row>
    <row r="29">
      <c r="A29" s="12" t="inlineStr">
        <is>
          <t>PV FCFs</t>
        </is>
      </c>
      <c r="B29" s="7">
        <f>SUM(B27:F27)</f>
        <v/>
      </c>
    </row>
    <row r="30">
      <c r="A30" s="12" t="inlineStr">
        <is>
          <t>Terminal Value</t>
        </is>
      </c>
      <c r="B30" s="7">
        <f>F25*(1+$B$12)/($B$11-$B$12)</f>
        <v/>
      </c>
    </row>
    <row r="31">
      <c r="A31" s="12" t="inlineStr">
        <is>
          <t>PV TV</t>
        </is>
      </c>
      <c r="B31" s="7">
        <f>B30/(1+$B$11)^5</f>
        <v/>
      </c>
    </row>
    <row r="32">
      <c r="A32" s="9" t="inlineStr">
        <is>
          <t>Enterprise Value</t>
        </is>
      </c>
      <c r="B32" s="10">
        <f>B29+B31</f>
        <v/>
      </c>
    </row>
    <row r="33">
      <c r="A33" s="12" t="inlineStr">
        <is>
          <t>Net Debt</t>
        </is>
      </c>
      <c r="B33" s="7" t="n">
        <v>-22100</v>
      </c>
    </row>
    <row r="34">
      <c r="A34" s="9" t="inlineStr">
        <is>
          <t>Equity Value</t>
        </is>
      </c>
      <c r="B34" s="10">
        <f>B32+B33</f>
        <v/>
      </c>
    </row>
  </sheetData>
  <mergeCells count="2">
    <mergeCell ref="A28:C2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
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Operating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0.0x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2E75B6"/>
      <sz val="10"/>
    </font>
    <font>
      <name val="Arial"/>
      <color rgb="00000000"/>
      <sz val="10"/>
    </font>
    <font>
      <name val="Arial"/>
      <sz val="10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4" fontId="7" fillId="4" borderId="0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10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MedTech Solutions Inc.</t>
        </is>
      </c>
    </row>
    <row r="2">
      <c r="A2" s="2" t="inlineStr">
        <is>
          <t>Financial Performance Update — Q1 2025</t>
        </is>
      </c>
    </row>
    <row r="4">
      <c r="A4" s="3" t="inlineStr">
        <is>
          <t>Metric</t>
        </is>
      </c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 2024A</t>
        </is>
      </c>
      <c r="F4" s="3" t="inlineStr">
        <is>
          <t>Q1 2025A</t>
        </is>
      </c>
      <c r="G4" s="3" t="inlineStr">
        <is>
          <t>YoY Chg</t>
        </is>
      </c>
    </row>
    <row r="5">
      <c r="A5" s="4" t="inlineStr">
        <is>
          <t>Net Revenue ($000s)</t>
        </is>
      </c>
      <c r="B5" s="5" t="n">
        <v>42800</v>
      </c>
      <c r="C5" s="5" t="n">
        <v>49200</v>
      </c>
      <c r="D5" s="5" t="n">
        <v>55100</v>
      </c>
      <c r="E5" s="5" t="n">
        <v>13200</v>
      </c>
      <c r="F5" s="6" t="n">
        <v>14800</v>
      </c>
      <c r="G5" s="7">
        <f>(G5-F5)/F5</f>
        <v/>
      </c>
    </row>
    <row r="6">
      <c r="A6" s="8" t="inlineStr">
        <is>
          <t xml:space="preserve">  Device Revenue</t>
        </is>
      </c>
      <c r="B6" s="9" t="n">
        <v>31200</v>
      </c>
      <c r="C6" s="9" t="n">
        <v>35800</v>
      </c>
      <c r="D6" s="9" t="n">
        <v>39900</v>
      </c>
      <c r="E6" s="9" t="n">
        <v>9600</v>
      </c>
      <c r="F6" s="10" t="n">
        <v>10900</v>
      </c>
      <c r="G6" s="11">
        <f>(G6-F6)/F6</f>
        <v/>
      </c>
    </row>
    <row r="7">
      <c r="A7" s="12" t="inlineStr">
        <is>
          <t xml:space="preserve">  Service Revenue</t>
        </is>
      </c>
      <c r="B7" s="5" t="n">
        <v>11600</v>
      </c>
      <c r="C7" s="5" t="n">
        <v>13400</v>
      </c>
      <c r="D7" s="5" t="n">
        <v>15200</v>
      </c>
      <c r="E7" s="5" t="n">
        <v>3600</v>
      </c>
      <c r="F7" s="6" t="n">
        <v>3900</v>
      </c>
      <c r="G7" s="7">
        <f>(G7-F7)/F7</f>
        <v/>
      </c>
    </row>
    <row r="8">
      <c r="A8" s="13" t="inlineStr">
        <is>
          <t>Gross Profit ($000s)</t>
        </is>
      </c>
      <c r="B8" s="9" t="n">
        <v>22900</v>
      </c>
      <c r="C8" s="9" t="n">
        <v>27100</v>
      </c>
      <c r="D8" s="9" t="n">
        <v>30800</v>
      </c>
      <c r="E8" s="9" t="n">
        <v>7300</v>
      </c>
      <c r="F8" s="10" t="n">
        <v>8300</v>
      </c>
      <c r="G8" s="11">
        <f>(G8-F8)/F8</f>
        <v/>
      </c>
    </row>
    <row r="9">
      <c r="A9" s="14" t="inlineStr">
        <is>
          <t>Gross Margin %</t>
        </is>
      </c>
      <c r="B9" s="15">
        <f>C9/C5</f>
        <v/>
      </c>
      <c r="C9" s="15">
        <f>D9/D5</f>
        <v/>
      </c>
      <c r="D9" s="15">
        <f>E9/E5</f>
        <v/>
      </c>
      <c r="E9" s="15">
        <f>F9/F5</f>
        <v/>
      </c>
      <c r="F9" s="15">
        <f>G9/G5</f>
        <v/>
      </c>
    </row>
    <row r="10">
      <c r="A10" s="16" t="inlineStr">
        <is>
          <t>Operating Expenses ($000s)</t>
        </is>
      </c>
      <c r="B10" s="9" t="n">
        <v>14200</v>
      </c>
      <c r="C10" s="9" t="n">
        <v>15900</v>
      </c>
      <c r="D10" s="9" t="n">
        <v>17100</v>
      </c>
      <c r="E10" s="9" t="n">
        <v>4200</v>
      </c>
      <c r="F10" s="10" t="n">
        <v>4600</v>
      </c>
      <c r="G10" s="11">
        <f>(G11-F11)/F11</f>
        <v/>
      </c>
    </row>
    <row r="11">
      <c r="A11" s="12" t="inlineStr">
        <is>
          <t xml:space="preserve">  R&amp;D</t>
        </is>
      </c>
      <c r="B11" s="5" t="n">
        <v>4100</v>
      </c>
      <c r="C11" s="5" t="n">
        <v>4800</v>
      </c>
      <c r="D11" s="5" t="n">
        <v>5200</v>
      </c>
      <c r="E11" s="5" t="n">
        <v>1300</v>
      </c>
      <c r="F11" s="6" t="n">
        <v>1400</v>
      </c>
    </row>
    <row r="12">
      <c r="A12" s="8" t="inlineStr">
        <is>
          <t xml:space="preserve">  SG&amp;A</t>
        </is>
      </c>
      <c r="B12" s="9" t="n">
        <v>7300</v>
      </c>
      <c r="C12" s="9" t="n">
        <v>8100</v>
      </c>
      <c r="D12" s="9" t="n">
        <v>8700</v>
      </c>
      <c r="E12" s="9" t="n">
        <v>2100</v>
      </c>
      <c r="F12" s="10" t="n">
        <v>2300</v>
      </c>
      <c r="G12" s="17" t="n"/>
    </row>
    <row r="13">
      <c r="A13" s="12" t="inlineStr">
        <is>
          <t xml:space="preserve">  G&amp;A</t>
        </is>
      </c>
      <c r="B13" s="5" t="n">
        <v>2800</v>
      </c>
      <c r="C13" s="5" t="n">
        <v>3000</v>
      </c>
      <c r="D13" s="5" t="n">
        <v>3200</v>
      </c>
      <c r="E13" s="5" t="n">
        <v>800</v>
      </c>
      <c r="F13" s="6" t="n">
        <v>900</v>
      </c>
    </row>
    <row r="14">
      <c r="A14" s="16" t="inlineStr">
        <is>
          <t>EBIT ($000s)</t>
        </is>
      </c>
      <c r="B14" s="9" t="n">
        <v>8700</v>
      </c>
      <c r="C14" s="9" t="n">
        <v>11200</v>
      </c>
      <c r="D14" s="9" t="n">
        <v>13700</v>
      </c>
      <c r="E14" s="9" t="n">
        <v>3100</v>
      </c>
      <c r="F14" s="10" t="n">
        <v>3700</v>
      </c>
      <c r="G14" s="11">
        <f>(G15-F15)/F15</f>
        <v/>
      </c>
    </row>
    <row r="15">
      <c r="A15" s="14" t="inlineStr">
        <is>
          <t>D&amp;A ($000s)</t>
        </is>
      </c>
      <c r="B15" s="5" t="n">
        <v>1800</v>
      </c>
      <c r="C15" s="5" t="n">
        <v>2100</v>
      </c>
      <c r="D15" s="5" t="n">
        <v>2400</v>
      </c>
      <c r="E15" s="5" t="n">
        <v>600</v>
      </c>
      <c r="F15" s="6" t="n">
        <v>650</v>
      </c>
    </row>
    <row r="16">
      <c r="A16" s="13" t="inlineStr">
        <is>
          <t>Adj. EBITDA ($000s)</t>
        </is>
      </c>
      <c r="B16" s="9" t="n">
        <v>10500</v>
      </c>
      <c r="C16" s="9" t="n">
        <v>13300</v>
      </c>
      <c r="D16" s="9" t="n">
        <v>16100</v>
      </c>
      <c r="E16" s="9" t="n">
        <v>3700</v>
      </c>
      <c r="F16" s="10" t="n">
        <v>4350</v>
      </c>
      <c r="G16" s="11">
        <f>(G17-F17)/F17</f>
        <v/>
      </c>
    </row>
    <row r="17">
      <c r="A17" s="14" t="inlineStr">
        <is>
          <t>Adj. EBITDA Margin %</t>
        </is>
      </c>
      <c r="B17" s="15">
        <f>C17/C5</f>
        <v/>
      </c>
      <c r="C17" s="15">
        <f>D17/D5</f>
        <v/>
      </c>
      <c r="D17" s="15">
        <f>E17/E5</f>
        <v/>
      </c>
      <c r="E17" s="15">
        <f>F17/F5</f>
        <v/>
      </c>
      <c r="F17" s="15">
        <f>G17/G5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>MedTech Solutions — DCF Valuation</t>
        </is>
      </c>
    </row>
    <row r="3">
      <c r="A3" s="19" t="inlineStr">
        <is>
          <t>KEY ASSUMPTIONS</t>
        </is>
      </c>
    </row>
    <row r="4">
      <c r="A4" s="14" t="inlineStr">
        <is>
          <t>Revenue Growth (Yr 1-3)</t>
        </is>
      </c>
      <c r="B4" s="20" t="n">
        <v>0.12</v>
      </c>
    </row>
    <row r="5">
      <c r="A5" s="14" t="inlineStr">
        <is>
          <t>Revenue Growth (Yr 4-5)</t>
        </is>
      </c>
      <c r="B5" s="20" t="n">
        <v>0.08</v>
      </c>
    </row>
    <row r="6">
      <c r="A6" s="14" t="inlineStr">
        <is>
          <t>EBITDA Margin (stabilized)</t>
        </is>
      </c>
      <c r="B6" s="20" t="n">
        <v>0.295</v>
      </c>
    </row>
    <row r="7">
      <c r="A7" s="14" t="inlineStr">
        <is>
          <t>D&amp;A % of Revenue</t>
        </is>
      </c>
      <c r="B7" s="20" t="n">
        <v>0.043</v>
      </c>
    </row>
    <row r="8">
      <c r="A8" s="14" t="inlineStr">
        <is>
          <t>Capex % of Revenue</t>
        </is>
      </c>
      <c r="B8" s="20" t="n">
        <v>0.038</v>
      </c>
    </row>
    <row r="9">
      <c r="A9" s="14" t="inlineStr">
        <is>
          <t>NWC Change % of Revenue</t>
        </is>
      </c>
      <c r="B9" s="20" t="n">
        <v>0.015</v>
      </c>
    </row>
    <row r="10">
      <c r="A10" s="14" t="inlineStr">
        <is>
          <t>Tax Rate</t>
        </is>
      </c>
      <c r="B10" s="20" t="n">
        <v>0.26</v>
      </c>
    </row>
    <row r="11">
      <c r="A11" s="14" t="inlineStr">
        <is>
          <t>WACC</t>
        </is>
      </c>
      <c r="B11" s="20" t="n">
        <v>0.115</v>
      </c>
    </row>
    <row r="12">
      <c r="A12" s="14" t="inlineStr">
        <is>
          <t>Terminal Growth Rate</t>
        </is>
      </c>
      <c r="B12" s="20" t="n">
        <v>0.025</v>
      </c>
    </row>
    <row r="15">
      <c r="A15" s="3" t="inlineStr"/>
      <c r="B15" s="3" t="inlineStr">
        <is>
          <t>2025E</t>
        </is>
      </c>
      <c r="C15" s="3" t="inlineStr">
        <is>
          <t>2026E</t>
        </is>
      </c>
      <c r="D15" s="3" t="inlineStr">
        <is>
          <t>2027E</t>
        </is>
      </c>
      <c r="E15" s="3" t="inlineStr">
        <is>
          <t>2028E</t>
        </is>
      </c>
      <c r="F15" s="3" t="inlineStr">
        <is>
          <t>2029E</t>
        </is>
      </c>
      <c r="G15" s="3" t="inlineStr">
        <is>
          <t>Terminal</t>
        </is>
      </c>
    </row>
    <row r="16">
      <c r="A16" s="14" t="inlineStr">
        <is>
          <t>Revenue ($000s)</t>
        </is>
      </c>
      <c r="B16" s="6">
        <f>55100*(1+$B$4)</f>
        <v/>
      </c>
      <c r="C16" s="6">
        <f>B16*(1+$B$4)</f>
        <v/>
      </c>
      <c r="D16" s="6">
        <f>C16*(1+$B$4)</f>
        <v/>
      </c>
      <c r="E16" s="6">
        <f>D16*(1+$B$5)</f>
        <v/>
      </c>
      <c r="F16" s="6">
        <f>E16*(1+$B$5)</f>
        <v/>
      </c>
      <c r="G16" s="6" t="inlineStr"/>
    </row>
    <row r="17">
      <c r="A17" s="4" t="inlineStr">
        <is>
          <t>EBITDA ($000s)</t>
        </is>
      </c>
      <c r="B17" s="6">
        <f>B16*$B$6</f>
        <v/>
      </c>
      <c r="C17" s="6">
        <f>C16*$B$6</f>
        <v/>
      </c>
      <c r="D17" s="6">
        <f>D16*$B$6</f>
        <v/>
      </c>
      <c r="E17" s="6">
        <f>E16*$B$6</f>
        <v/>
      </c>
      <c r="F17" s="6">
        <f>F16*$B$6</f>
        <v/>
      </c>
      <c r="G17" s="6" t="inlineStr"/>
    </row>
    <row r="18">
      <c r="A18" s="14" t="inlineStr">
        <is>
          <t>Less: D&amp;A</t>
        </is>
      </c>
      <c r="B18" s="6">
        <f>-B16*$B$7</f>
        <v/>
      </c>
      <c r="C18" s="6">
        <f>-C16*$B$7</f>
        <v/>
      </c>
      <c r="D18" s="6">
        <f>-D16*$B$7</f>
        <v/>
      </c>
      <c r="E18" s="6">
        <f>-E16*$B$7</f>
        <v/>
      </c>
      <c r="F18" s="6">
        <f>-F16*$B$7</f>
        <v/>
      </c>
      <c r="G18" s="6" t="inlineStr"/>
    </row>
    <row r="19">
      <c r="A19" s="14" t="inlineStr">
        <is>
          <t>EBIT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 t="inlineStr"/>
    </row>
    <row r="20">
      <c r="A20" s="14" t="inlineStr">
        <is>
          <t>Less: Taxes</t>
        </is>
      </c>
      <c r="B20" s="6">
        <f>-B19*(1-$B$10)</f>
        <v/>
      </c>
      <c r="C20" s="6">
        <f>-C19*(1-$B$10)</f>
        <v/>
      </c>
      <c r="D20" s="6">
        <f>-D19*(1-$B$10)</f>
        <v/>
      </c>
      <c r="E20" s="6">
        <f>-E19*(1-$B$10)</f>
        <v/>
      </c>
      <c r="F20" s="6">
        <f>-F19*(1-$B$10)</f>
        <v/>
      </c>
      <c r="G20" s="6" t="inlineStr"/>
    </row>
    <row r="21">
      <c r="A21" s="14" t="inlineStr">
        <is>
          <t>NOPAT</t>
        </is>
      </c>
      <c r="B21" s="6">
        <f>B19+B20</f>
        <v/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 t="inlineStr"/>
    </row>
    <row r="22">
      <c r="A22" s="14" t="inlineStr">
        <is>
          <t>Add: D&amp;A</t>
        </is>
      </c>
      <c r="B22" s="6">
        <f>-B18</f>
        <v/>
      </c>
      <c r="C22" s="6">
        <f>-C18</f>
        <v/>
      </c>
      <c r="D22" s="6">
        <f>-D18</f>
        <v/>
      </c>
      <c r="E22" s="6">
        <f>-E18</f>
        <v/>
      </c>
      <c r="F22" s="6">
        <f>-F18</f>
        <v/>
      </c>
      <c r="G22" s="6" t="inlineStr"/>
    </row>
    <row r="23">
      <c r="A23" s="14" t="inlineStr">
        <is>
          <t>Less: Capex</t>
        </is>
      </c>
      <c r="B23" s="6">
        <f>-B16*$B$8</f>
        <v/>
      </c>
      <c r="C23" s="6">
        <f>-C16*$B$8</f>
        <v/>
      </c>
      <c r="D23" s="6">
        <f>-D16*$B$8</f>
        <v/>
      </c>
      <c r="E23" s="6">
        <f>-E16*$B$8</f>
        <v/>
      </c>
      <c r="F23" s="6">
        <f>-F16*$B$8</f>
        <v/>
      </c>
      <c r="G23" s="6" t="inlineStr"/>
    </row>
    <row r="24">
      <c r="A24" s="14" t="inlineStr">
        <is>
          <t>Less: NWC Change</t>
        </is>
      </c>
      <c r="B24" s="6">
        <f>-B16*$B$9</f>
        <v/>
      </c>
      <c r="C24" s="6">
        <f>-C16*$B$9</f>
        <v/>
      </c>
      <c r="D24" s="6">
        <f>-D16*$B$9</f>
        <v/>
      </c>
      <c r="E24" s="6">
        <f>-E16*$B$9</f>
        <v/>
      </c>
      <c r="F24" s="6">
        <f>-F16*$B$9</f>
        <v/>
      </c>
      <c r="G24" s="6" t="inlineStr"/>
    </row>
    <row r="25">
      <c r="A25" s="4" t="inlineStr">
        <is>
          <t>Free Cash Flow ($000s)</t>
        </is>
      </c>
      <c r="B25" s="6">
        <f>SUM(B21:B24)</f>
        <v/>
      </c>
      <c r="C25" s="6">
        <f>SUM(C21:C24)</f>
        <v/>
      </c>
      <c r="D25" s="6">
        <f>SUM(D21:D24)</f>
        <v/>
      </c>
      <c r="E25" s="6">
        <f>SUM(E21:E24)</f>
        <v/>
      </c>
      <c r="F25" s="6">
        <f>SUM(F21:F24)</f>
        <v/>
      </c>
      <c r="G25" s="6">
        <f>F25*(1+$B$11)/($B$9-$B$11)</f>
        <v/>
      </c>
    </row>
    <row r="26">
      <c r="A26" s="14" t="inlineStr">
        <is>
          <t>Discount Factor</t>
        </is>
      </c>
      <c r="B26" s="6">
        <f>1/(1+$B$9)^1</f>
        <v/>
      </c>
      <c r="C26" s="6">
        <f>1/(1+$B$9)^2</f>
        <v/>
      </c>
      <c r="D26" s="6">
        <f>1/(1+$B$9)^3</f>
        <v/>
      </c>
      <c r="E26" s="6">
        <f>1/(1+$B$9)^4</f>
        <v/>
      </c>
      <c r="F26" s="6">
        <f>1/(1+$B$9)^5</f>
        <v/>
      </c>
      <c r="G26" s="6">
        <f>1/(1+$B$9)^5</f>
        <v/>
      </c>
    </row>
    <row r="27">
      <c r="A27" s="14" t="inlineStr">
        <is>
          <t>PV of FCF</t>
        </is>
      </c>
      <c r="B27" s="6">
        <f>B25*B26</f>
        <v/>
      </c>
      <c r="C27" s="6">
        <f>C25*C26</f>
        <v/>
      </c>
      <c r="D27" s="6">
        <f>D25*D26</f>
        <v/>
      </c>
      <c r="E27" s="6">
        <f>E25*E26</f>
        <v/>
      </c>
      <c r="F27" s="6">
        <f>F25*F26</f>
        <v/>
      </c>
      <c r="G27" s="6">
        <f>G25*G26</f>
        <v/>
      </c>
    </row>
    <row r="29">
      <c r="A29" s="21" t="inlineStr">
        <is>
          <t>Enterprise Value Summary</t>
        </is>
      </c>
    </row>
    <row r="30">
      <c r="A30" s="14" t="inlineStr">
        <is>
          <t>PV of FCFs (2025-2029)</t>
        </is>
      </c>
      <c r="B30" s="6">
        <f>SUM(B27:F27)</f>
        <v/>
      </c>
    </row>
    <row r="31">
      <c r="A31" s="14" t="inlineStr">
        <is>
          <t>PV of Terminal Value</t>
        </is>
      </c>
      <c r="B31" s="6">
        <f>G27</f>
        <v/>
      </c>
    </row>
    <row r="32">
      <c r="A32" s="4" t="inlineStr">
        <is>
          <t>Total Enterprise Value</t>
        </is>
      </c>
      <c r="B32" s="22">
        <f>B30+B31</f>
        <v/>
      </c>
    </row>
    <row r="33">
      <c r="A33" s="14" t="inlineStr">
        <is>
          <t>Net Debt</t>
        </is>
      </c>
      <c r="B33" s="5" t="n">
        <v>-8200</v>
      </c>
    </row>
    <row r="34">
      <c r="A34" s="4" t="inlineStr">
        <is>
          <t>Equity Value</t>
        </is>
      </c>
      <c r="B34" s="22">
        <f>B32+B33</f>
        <v/>
      </c>
    </row>
    <row r="35">
      <c r="A35" s="14" t="inlineStr">
        <is>
          <t>Implied EV/EBITDA (NTM)</t>
        </is>
      </c>
      <c r="B35" s="23">
        <f>B32/F17</f>
        <v/>
      </c>
    </row>
  </sheetData>
  <mergeCells count="3">
    <mergeCell ref="A29:D29"/>
    <mergeCell ref="A3:B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4" t="inlineStr">
        <is>
          <t>MedTech Solutions — Operating Metrics</t>
        </is>
      </c>
    </row>
    <row r="3">
      <c r="A3" s="25" t="inlineStr">
        <is>
          <t>KPI</t>
        </is>
      </c>
      <c r="B3" s="25" t="inlineStr">
        <is>
          <t>FY2022</t>
        </is>
      </c>
      <c r="C3" s="25" t="inlineStr">
        <is>
          <t>FY2023</t>
        </is>
      </c>
      <c r="D3" s="25" t="inlineStr">
        <is>
          <t>FY2024</t>
        </is>
      </c>
      <c r="E3" s="25" t="inlineStr">
        <is>
          <t>Q1'24</t>
        </is>
      </c>
      <c r="F3" s="25" t="inlineStr">
        <is>
          <t>Q1'25</t>
        </is>
      </c>
    </row>
    <row r="4">
      <c r="A4" s="16" t="inlineStr">
        <is>
          <t>Units Shipped</t>
        </is>
      </c>
      <c r="B4" s="11" t="n">
        <v>18200</v>
      </c>
      <c r="C4" s="11" t="n">
        <v>21400</v>
      </c>
      <c r="D4" s="11" t="n">
        <v>24100</v>
      </c>
      <c r="E4" s="11" t="n">
        <v>5800</v>
      </c>
      <c r="F4" s="11" t="n">
        <v>6600</v>
      </c>
    </row>
    <row r="5">
      <c r="A5" s="14" t="inlineStr">
        <is>
          <t>ASP per Unit ($)</t>
        </is>
      </c>
      <c r="B5" s="7" t="n">
        <v>1715</v>
      </c>
      <c r="C5" s="7" t="n">
        <v>1673</v>
      </c>
      <c r="D5" s="7" t="n">
        <v>1657</v>
      </c>
      <c r="E5" s="7" t="n">
        <v>1655</v>
      </c>
      <c r="F5" s="7" t="n">
        <v>1652</v>
      </c>
    </row>
    <row r="6">
      <c r="A6" s="16" t="inlineStr">
        <is>
          <t>Active Hospital Accounts</t>
        </is>
      </c>
      <c r="B6" s="11" t="n">
        <v>312</v>
      </c>
      <c r="C6" s="11" t="n">
        <v>381</v>
      </c>
      <c r="D6" s="11" t="n">
        <v>447</v>
      </c>
      <c r="E6" s="11" t="n">
        <v>412</v>
      </c>
      <c r="F6" s="11" t="n">
        <v>463</v>
      </c>
    </row>
    <row r="7">
      <c r="A7" s="14" t="inlineStr">
        <is>
          <t>Net Revenue Retention %</t>
        </is>
      </c>
      <c r="B7" s="15" t="n">
        <v>0.9399999999999999</v>
      </c>
      <c r="C7" s="15" t="n">
        <v>0.96</v>
      </c>
      <c r="D7" s="15" t="n">
        <v>0.97</v>
      </c>
      <c r="E7" s="15" t="n">
        <v>0.97</v>
      </c>
      <c r="F7" s="15" t="n">
        <v>0.98</v>
      </c>
    </row>
    <row r="8">
      <c r="A8" s="16" t="inlineStr">
        <is>
          <t>R&amp;D % of Revenue</t>
        </is>
      </c>
      <c r="B8" s="26" t="n">
        <v>0.096</v>
      </c>
      <c r="C8" s="26" t="n">
        <v>0.098</v>
      </c>
      <c r="D8" s="26" t="n">
        <v>0.094</v>
      </c>
      <c r="E8" s="26" t="n">
        <v>0.098</v>
      </c>
      <c r="F8" s="26" t="n">
        <v>0.095</v>
      </c>
    </row>
    <row r="9">
      <c r="A9" s="14" t="inlineStr">
        <is>
          <t>Service Attach Rate %</t>
        </is>
      </c>
      <c r="B9" s="15" t="n">
        <v>0.61</v>
      </c>
      <c r="C9" s="15" t="n">
        <v>0.65</v>
      </c>
      <c r="D9" s="15" t="n">
        <v>0.68</v>
      </c>
      <c r="E9" s="15" t="n">
        <v>0.67</v>
      </c>
      <c r="F9" s="15" t="n">
        <v>0.7</v>
      </c>
    </row>
    <row r="10">
      <c r="A10" s="16" t="inlineStr">
        <is>
          <t>Gross Margin — Devices %</t>
        </is>
      </c>
      <c r="B10" s="26" t="n">
        <v>0.48</v>
      </c>
      <c r="C10" s="26" t="n">
        <v>0.5</v>
      </c>
      <c r="D10" s="26" t="n">
        <v>0.51</v>
      </c>
      <c r="E10" s="26" t="n">
        <v>0.51</v>
      </c>
      <c r="F10" s="26" t="n">
        <v>0.52</v>
      </c>
    </row>
    <row r="11">
      <c r="A11" s="14" t="inlineStr">
        <is>
          <t>Gross Margin — Services %</t>
        </is>
      </c>
      <c r="B11" s="15" t="n">
        <v>0.71</v>
      </c>
      <c r="C11" s="15" t="n">
        <v>0.73</v>
      </c>
      <c r="D11" s="15" t="n">
        <v>0.74</v>
      </c>
      <c r="E11" s="15" t="n">
        <v>0.74</v>
      </c>
      <c r="F11" s="15" t="n">
        <v>0.75</v>
      </c>
    </row>
    <row r="12">
      <c r="A12" s="16" t="inlineStr">
        <is>
          <t>Headcount (FTE)</t>
        </is>
      </c>
      <c r="B12" s="11" t="n">
        <v>284</v>
      </c>
      <c r="C12" s="11" t="n">
        <v>318</v>
      </c>
      <c r="D12" s="11" t="n">
        <v>351</v>
      </c>
      <c r="E12" s="11" t="n">
        <v>338</v>
      </c>
      <c r="F12" s="11" t="n">
        <v>362</v>
      </c>
    </row>
    <row r="13">
      <c r="A13" s="14" t="inlineStr">
        <is>
          <t>Revenue per FTE ($000s)</t>
        </is>
      </c>
      <c r="B13" s="7" t="n">
        <v>151</v>
      </c>
      <c r="C13" s="7" t="n">
        <v>155</v>
      </c>
      <c r="D13" s="7" t="n">
        <v>157</v>
      </c>
      <c r="E13" s="7" t="n">
        <v>156</v>
      </c>
      <c r="F13" s="7" t="n">
        <v>163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
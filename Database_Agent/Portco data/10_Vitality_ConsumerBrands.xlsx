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Channel" sheetId="1" state="visible" r:id="rId1"/>
    <sheet xmlns:r="http://schemas.openxmlformats.org/officeDocument/2006/relationships" name="Brand KPIs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#,##0.0;(#,##0.0);&quot;-&quot;"/>
    <numFmt numFmtId="167" formatCode="0.0x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color rgb="002E75B6"/>
      <sz val="10"/>
    </font>
  </fonts>
  <fills count="6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E2CFED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8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166" fontId="6" fillId="4" borderId="0" applyAlignment="1" pivotButton="0" quotePrefix="0" xfId="0">
      <alignment horizontal="right"/>
    </xf>
    <xf numFmtId="165" fontId="6" fillId="4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Vitality Consumer Brands Inc.</t>
        </is>
      </c>
    </row>
    <row r="2">
      <c r="A2" s="2" t="inlineStr">
        <is>
          <t>Channel Performance Report | FY2024A &amp; Q1 2025A | $000s</t>
        </is>
      </c>
    </row>
    <row r="4">
      <c r="A4" s="3" t="inlineStr">
        <is>
          <t>Metric</t>
        </is>
      </c>
      <c r="B4" s="3" t="inlineStr">
        <is>
          <t>FY2022A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Q1'24A</t>
        </is>
      </c>
      <c r="F4" s="3" t="inlineStr">
        <is>
          <t>Q1'25A</t>
        </is>
      </c>
      <c r="G4" s="3" t="inlineStr">
        <is>
          <t>YoY %</t>
        </is>
      </c>
      <c r="H4" s="3" t="inlineStr">
        <is>
          <t>YoY $</t>
        </is>
      </c>
    </row>
    <row r="5">
      <c r="A5" s="4" t="inlineStr">
        <is>
          <t>DTC Online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 xml:space="preserve">  Revenue</t>
        </is>
      </c>
      <c r="B6" s="7" t="n">
        <v>28400</v>
      </c>
      <c r="C6" s="7" t="n">
        <v>34100</v>
      </c>
      <c r="D6" s="7" t="n">
        <v>42800</v>
      </c>
      <c r="E6" s="7" t="n">
        <v>10800</v>
      </c>
      <c r="F6" s="7" t="n">
        <v>12400</v>
      </c>
      <c r="G6" s="8">
        <f>((F6/E6)-1)</f>
        <v/>
      </c>
    </row>
    <row r="7">
      <c r="A7" s="6" t="inlineStr">
        <is>
          <t xml:space="preserve">  COGS</t>
        </is>
      </c>
      <c r="B7" s="7" t="n">
        <v>-9088</v>
      </c>
      <c r="C7" s="7" t="n">
        <v>-10912</v>
      </c>
      <c r="D7" s="7" t="n">
        <v>-13696</v>
      </c>
      <c r="E7" s="7" t="n">
        <v>-3456</v>
      </c>
      <c r="F7" s="7" t="n">
        <v>-3968</v>
      </c>
      <c r="G7" s="8">
        <f>((F7/E7)-1)</f>
        <v/>
      </c>
    </row>
    <row r="8">
      <c r="A8" s="9" t="inlineStr">
        <is>
          <t xml:space="preserve">  Gross Profit</t>
        </is>
      </c>
      <c r="B8" s="10" t="n">
        <v>19312</v>
      </c>
      <c r="C8" s="10" t="n">
        <v>23188</v>
      </c>
      <c r="D8" s="10" t="n">
        <v>29104</v>
      </c>
      <c r="E8" s="10" t="n">
        <v>7344</v>
      </c>
      <c r="F8" s="10" t="n">
        <v>8432</v>
      </c>
      <c r="G8" s="8">
        <f>((F8/E8)-1)</f>
        <v/>
      </c>
    </row>
    <row r="9">
      <c r="A9" s="6" t="inlineStr">
        <is>
          <t xml:space="preserve">  Gross Margin %</t>
        </is>
      </c>
      <c r="B9" s="11" t="n">
        <v>0.68</v>
      </c>
      <c r="C9" s="11" t="n">
        <v>0.68</v>
      </c>
      <c r="D9" s="11" t="n">
        <v>0.68</v>
      </c>
      <c r="E9" s="11" t="n">
        <v>0.68</v>
      </c>
      <c r="F9" s="11" t="n">
        <v>0.68</v>
      </c>
      <c r="G9" s="8" t="inlineStr"/>
    </row>
    <row r="10">
      <c r="A10" s="6" t="inlineStr">
        <is>
          <t xml:space="preserve">  Variable Marketing</t>
        </is>
      </c>
      <c r="B10" s="7" t="n">
        <v>-3408</v>
      </c>
      <c r="C10" s="7" t="n">
        <v>-4092</v>
      </c>
      <c r="D10" s="7" t="n">
        <v>-5136</v>
      </c>
      <c r="E10" s="7" t="n">
        <v>-1296</v>
      </c>
      <c r="F10" s="7" t="n">
        <v>-1488</v>
      </c>
      <c r="G10" s="8">
        <f>((F10/E10)-1)</f>
        <v/>
      </c>
    </row>
    <row r="11">
      <c r="A11" s="9" t="inlineStr">
        <is>
          <t xml:space="preserve">  Contribution Margin</t>
        </is>
      </c>
      <c r="B11" s="10" t="n">
        <v>15904</v>
      </c>
      <c r="C11" s="10" t="n">
        <v>19096</v>
      </c>
      <c r="D11" s="10" t="n">
        <v>23968</v>
      </c>
      <c r="E11" s="10" t="n">
        <v>6048</v>
      </c>
      <c r="F11" s="10" t="n">
        <v>6944</v>
      </c>
      <c r="G11" s="8">
        <f>((F11/E11)-1)</f>
        <v/>
      </c>
    </row>
    <row r="13">
      <c r="A13" s="4" t="inlineStr">
        <is>
          <t>Retail Wholesale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6" t="inlineStr">
        <is>
          <t xml:space="preserve">  Revenue</t>
        </is>
      </c>
      <c r="B14" s="7" t="n">
        <v>42100</v>
      </c>
      <c r="C14" s="7" t="n">
        <v>46800</v>
      </c>
      <c r="D14" s="7" t="n">
        <v>51200</v>
      </c>
      <c r="E14" s="7" t="n">
        <v>12600</v>
      </c>
      <c r="F14" s="7" t="n">
        <v>13400</v>
      </c>
      <c r="G14" s="8">
        <f>((F14/E14)-1)</f>
        <v/>
      </c>
    </row>
    <row r="15">
      <c r="A15" s="6" t="inlineStr">
        <is>
          <t xml:space="preserve">  COGS</t>
        </is>
      </c>
      <c r="B15" s="7" t="n">
        <v>-24418</v>
      </c>
      <c r="C15" s="7" t="n">
        <v>-27144</v>
      </c>
      <c r="D15" s="7" t="n">
        <v>-29696</v>
      </c>
      <c r="E15" s="7" t="n">
        <v>-7308</v>
      </c>
      <c r="F15" s="7" t="n">
        <v>-7772</v>
      </c>
      <c r="G15" s="8">
        <f>((F15/E15)-1)</f>
        <v/>
      </c>
    </row>
    <row r="16">
      <c r="A16" s="9" t="inlineStr">
        <is>
          <t xml:space="preserve">  Gross Profit</t>
        </is>
      </c>
      <c r="B16" s="10" t="n">
        <v>17682</v>
      </c>
      <c r="C16" s="10" t="n">
        <v>19656</v>
      </c>
      <c r="D16" s="10" t="n">
        <v>21504</v>
      </c>
      <c r="E16" s="10" t="n">
        <v>5292</v>
      </c>
      <c r="F16" s="10" t="n">
        <v>5628</v>
      </c>
      <c r="G16" s="8">
        <f>((F16/E16)-1)</f>
        <v/>
      </c>
    </row>
    <row r="17">
      <c r="A17" s="6" t="inlineStr">
        <is>
          <t xml:space="preserve">  Gross Margin %</t>
        </is>
      </c>
      <c r="B17" s="11" t="n">
        <v>0.42</v>
      </c>
      <c r="C17" s="11" t="n">
        <v>0.42</v>
      </c>
      <c r="D17" s="11" t="n">
        <v>0.42</v>
      </c>
      <c r="E17" s="11" t="n">
        <v>0.42</v>
      </c>
      <c r="F17" s="11" t="n">
        <v>0.42</v>
      </c>
      <c r="G17" s="8" t="inlineStr"/>
    </row>
    <row r="18">
      <c r="A18" s="6" t="inlineStr">
        <is>
          <t xml:space="preserve">  Variable Marketing</t>
        </is>
      </c>
      <c r="B18" s="7" t="n">
        <v>-5052</v>
      </c>
      <c r="C18" s="7" t="n">
        <v>-5616</v>
      </c>
      <c r="D18" s="7" t="n">
        <v>-6144</v>
      </c>
      <c r="E18" s="7" t="n">
        <v>-1512</v>
      </c>
      <c r="F18" s="7" t="n">
        <v>-1608</v>
      </c>
      <c r="G18" s="8">
        <f>((F18/E18)-1)</f>
        <v/>
      </c>
    </row>
    <row r="19">
      <c r="A19" s="9" t="inlineStr">
        <is>
          <t xml:space="preserve">  Contribution Margin</t>
        </is>
      </c>
      <c r="B19" s="10" t="n">
        <v>12630</v>
      </c>
      <c r="C19" s="10" t="n">
        <v>14040</v>
      </c>
      <c r="D19" s="10" t="n">
        <v>15360</v>
      </c>
      <c r="E19" s="10" t="n">
        <v>3780</v>
      </c>
      <c r="F19" s="10" t="n">
        <v>4020</v>
      </c>
      <c r="G19" s="8">
        <f>((F19/E19)-1)</f>
        <v/>
      </c>
    </row>
    <row r="21">
      <c r="A21" s="4" t="inlineStr">
        <is>
          <t>Amazon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6" t="inlineStr">
        <is>
          <t xml:space="preserve">  Revenue</t>
        </is>
      </c>
      <c r="B22" s="7" t="n">
        <v>18200</v>
      </c>
      <c r="C22" s="7" t="n">
        <v>22400</v>
      </c>
      <c r="D22" s="7" t="n">
        <v>27600</v>
      </c>
      <c r="E22" s="7" t="n">
        <v>6800</v>
      </c>
      <c r="F22" s="7" t="n">
        <v>7900</v>
      </c>
      <c r="G22" s="8">
        <f>((F22/E22)-1)</f>
        <v/>
      </c>
    </row>
    <row r="23">
      <c r="A23" s="6" t="inlineStr">
        <is>
          <t xml:space="preserve">  COGS</t>
        </is>
      </c>
      <c r="B23" s="7" t="n">
        <v>-8918</v>
      </c>
      <c r="C23" s="7" t="n">
        <v>-10976</v>
      </c>
      <c r="D23" s="7" t="n">
        <v>-13524</v>
      </c>
      <c r="E23" s="7" t="n">
        <v>-3332</v>
      </c>
      <c r="F23" s="7" t="n">
        <v>-3871</v>
      </c>
      <c r="G23" s="8">
        <f>((F23/E23)-1)</f>
        <v/>
      </c>
    </row>
    <row r="24">
      <c r="A24" s="9" t="inlineStr">
        <is>
          <t xml:space="preserve">  Gross Profit</t>
        </is>
      </c>
      <c r="B24" s="10" t="n">
        <v>9282</v>
      </c>
      <c r="C24" s="10" t="n">
        <v>11424</v>
      </c>
      <c r="D24" s="10" t="n">
        <v>14076</v>
      </c>
      <c r="E24" s="10" t="n">
        <v>3468</v>
      </c>
      <c r="F24" s="10" t="n">
        <v>4029</v>
      </c>
      <c r="G24" s="8">
        <f>((F24/E24)-1)</f>
        <v/>
      </c>
    </row>
    <row r="25">
      <c r="A25" s="6" t="inlineStr">
        <is>
          <t xml:space="preserve">  Gross Margin %</t>
        </is>
      </c>
      <c r="B25" s="11" t="n">
        <v>0.51</v>
      </c>
      <c r="C25" s="11" t="n">
        <v>0.51</v>
      </c>
      <c r="D25" s="11" t="n">
        <v>0.51</v>
      </c>
      <c r="E25" s="11" t="n">
        <v>0.51</v>
      </c>
      <c r="F25" s="11" t="n">
        <v>0.51</v>
      </c>
      <c r="G25" s="8" t="inlineStr"/>
    </row>
    <row r="26">
      <c r="A26" s="6" t="inlineStr">
        <is>
          <t xml:space="preserve">  Variable Marketing</t>
        </is>
      </c>
      <c r="B26" s="7" t="n">
        <v>-2184</v>
      </c>
      <c r="C26" s="7" t="n">
        <v>-2688</v>
      </c>
      <c r="D26" s="7" t="n">
        <v>-3312</v>
      </c>
      <c r="E26" s="7" t="n">
        <v>-816</v>
      </c>
      <c r="F26" s="7" t="n">
        <v>-948</v>
      </c>
      <c r="G26" s="8">
        <f>((F26/E26)-1)</f>
        <v/>
      </c>
    </row>
    <row r="27">
      <c r="A27" s="9" t="inlineStr">
        <is>
          <t xml:space="preserve">  Contribution Margin</t>
        </is>
      </c>
      <c r="B27" s="10" t="n">
        <v>7098</v>
      </c>
      <c r="C27" s="10" t="n">
        <v>8736</v>
      </c>
      <c r="D27" s="10" t="n">
        <v>10764</v>
      </c>
      <c r="E27" s="10" t="n">
        <v>2652</v>
      </c>
      <c r="F27" s="10" t="n">
        <v>3081</v>
      </c>
      <c r="G27" s="8">
        <f>((F27/E27)-1)</f>
        <v/>
      </c>
    </row>
    <row r="29">
      <c r="A29" s="4" t="inlineStr">
        <is>
          <t>International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6" t="inlineStr">
        <is>
          <t xml:space="preserve">  Revenue</t>
        </is>
      </c>
      <c r="B30" s="7" t="n">
        <v>8400</v>
      </c>
      <c r="C30" s="7" t="n">
        <v>11200</v>
      </c>
      <c r="D30" s="7" t="n">
        <v>15400</v>
      </c>
      <c r="E30" s="7" t="n">
        <v>3800</v>
      </c>
      <c r="F30" s="7" t="n">
        <v>4600</v>
      </c>
      <c r="G30" s="8">
        <f>((F30/E30)-1)</f>
        <v/>
      </c>
    </row>
    <row r="31">
      <c r="A31" s="6" t="inlineStr">
        <is>
          <t xml:space="preserve">  COGS</t>
        </is>
      </c>
      <c r="B31" s="7" t="n">
        <v>-3528</v>
      </c>
      <c r="C31" s="7" t="n">
        <v>-4704</v>
      </c>
      <c r="D31" s="7" t="n">
        <v>-6468</v>
      </c>
      <c r="E31" s="7" t="n">
        <v>-1596</v>
      </c>
      <c r="F31" s="7" t="n">
        <v>-1932</v>
      </c>
      <c r="G31" s="8">
        <f>((F31/E31)-1)</f>
        <v/>
      </c>
    </row>
    <row r="32">
      <c r="A32" s="9" t="inlineStr">
        <is>
          <t xml:space="preserve">  Gross Profit</t>
        </is>
      </c>
      <c r="B32" s="10" t="n">
        <v>4872</v>
      </c>
      <c r="C32" s="10" t="n">
        <v>6496</v>
      </c>
      <c r="D32" s="10" t="n">
        <v>8932</v>
      </c>
      <c r="E32" s="10" t="n">
        <v>2204</v>
      </c>
      <c r="F32" s="10" t="n">
        <v>2668</v>
      </c>
      <c r="G32" s="8">
        <f>((F32/E32)-1)</f>
        <v/>
      </c>
    </row>
    <row r="33">
      <c r="A33" s="6" t="inlineStr">
        <is>
          <t xml:space="preserve">  Gross Margin %</t>
        </is>
      </c>
      <c r="B33" s="11" t="n">
        <v>0.58</v>
      </c>
      <c r="C33" s="11" t="n">
        <v>0.58</v>
      </c>
      <c r="D33" s="11" t="n">
        <v>0.58</v>
      </c>
      <c r="E33" s="11" t="n">
        <v>0.58</v>
      </c>
      <c r="F33" s="11" t="n">
        <v>0.58</v>
      </c>
      <c r="G33" s="8" t="inlineStr"/>
    </row>
    <row r="34">
      <c r="A34" s="6" t="inlineStr">
        <is>
          <t xml:space="preserve">  Variable Marketing</t>
        </is>
      </c>
      <c r="B34" s="7" t="n">
        <v>-1008</v>
      </c>
      <c r="C34" s="7" t="n">
        <v>-1344</v>
      </c>
      <c r="D34" s="7" t="n">
        <v>-1848</v>
      </c>
      <c r="E34" s="7" t="n">
        <v>-456</v>
      </c>
      <c r="F34" s="7" t="n">
        <v>-552</v>
      </c>
      <c r="G34" s="8">
        <f>((F34/E34)-1)</f>
        <v/>
      </c>
    </row>
    <row r="35">
      <c r="A35" s="9" t="inlineStr">
        <is>
          <t xml:space="preserve">  Contribution Margin</t>
        </is>
      </c>
      <c r="B35" s="10" t="n">
        <v>3864</v>
      </c>
      <c r="C35" s="10" t="n">
        <v>5152</v>
      </c>
      <c r="D35" s="10" t="n">
        <v>7084</v>
      </c>
      <c r="E35" s="10" t="n">
        <v>1748</v>
      </c>
      <c r="F35" s="10" t="n">
        <v>2116</v>
      </c>
      <c r="G35" s="8">
        <f>((F35/E35)-1)</f>
        <v/>
      </c>
    </row>
    <row r="37">
      <c r="A37" s="12" t="inlineStr">
        <is>
          <t>CONSOLIDATED P&amp;L</t>
        </is>
      </c>
      <c r="B37" s="13" t="n"/>
      <c r="C37" s="13" t="n"/>
      <c r="D37" s="13" t="n"/>
      <c r="E37" s="13" t="n"/>
      <c r="F37" s="13" t="n"/>
      <c r="G37" s="13" t="n"/>
      <c r="H37" s="13" t="n"/>
    </row>
    <row r="38">
      <c r="A38" s="9" t="inlineStr">
        <is>
          <t>Total Revenue</t>
        </is>
      </c>
      <c r="B38" s="10" t="n">
        <v>97100</v>
      </c>
      <c r="C38" s="10" t="n">
        <v>114500</v>
      </c>
      <c r="D38" s="10" t="n">
        <v>137000</v>
      </c>
      <c r="E38" s="10" t="n">
        <v>34000</v>
      </c>
      <c r="F38" s="10" t="n">
        <v>38300</v>
      </c>
    </row>
    <row r="39">
      <c r="A39" s="6" t="inlineStr">
        <is>
          <t>Total Gross Profit</t>
        </is>
      </c>
      <c r="B39" s="7" t="n">
        <v>51269</v>
      </c>
      <c r="C39" s="7" t="n">
        <v>60456</v>
      </c>
      <c r="D39" s="7" t="n">
        <v>72336</v>
      </c>
      <c r="E39" s="7" t="n">
        <v>17952</v>
      </c>
      <c r="F39" s="7" t="n">
        <v>20222</v>
      </c>
    </row>
    <row r="40">
      <c r="A40" s="6" t="inlineStr">
        <is>
          <t>Total Variable Marketing</t>
        </is>
      </c>
      <c r="B40" s="7" t="n">
        <v>-11652</v>
      </c>
      <c r="C40" s="7" t="n">
        <v>-13740</v>
      </c>
      <c r="D40" s="7" t="n">
        <v>-16440</v>
      </c>
      <c r="E40" s="7" t="n">
        <v>-4080</v>
      </c>
      <c r="F40" s="7" t="n">
        <v>-4596</v>
      </c>
    </row>
    <row r="41">
      <c r="A41" s="9" t="inlineStr">
        <is>
          <t>Total Contribution Margin</t>
        </is>
      </c>
      <c r="B41" s="10" t="n">
        <v>39617</v>
      </c>
      <c r="C41" s="10" t="n">
        <v>46716</v>
      </c>
      <c r="D41" s="10" t="n">
        <v>55896</v>
      </c>
      <c r="E41" s="10" t="n">
        <v>13872</v>
      </c>
      <c r="F41" s="10" t="n">
        <v>15626</v>
      </c>
    </row>
    <row r="42">
      <c r="A42" s="6" t="inlineStr">
        <is>
          <t>Fixed Overhead &amp; G&amp;A</t>
        </is>
      </c>
      <c r="B42" s="7" t="n">
        <v>-17478</v>
      </c>
      <c r="C42" s="7" t="n">
        <v>-20610</v>
      </c>
      <c r="D42" s="7" t="n">
        <v>-24660</v>
      </c>
      <c r="E42" s="7" t="n">
        <v>-6120</v>
      </c>
      <c r="F42" s="7" t="n">
        <v>-6894</v>
      </c>
    </row>
    <row r="43">
      <c r="A43" s="9" t="inlineStr">
        <is>
          <t>Brand EBITDA</t>
        </is>
      </c>
      <c r="B43" s="10" t="n">
        <v>22139</v>
      </c>
      <c r="C43" s="10" t="n">
        <v>26106</v>
      </c>
      <c r="D43" s="10" t="n">
        <v>31236</v>
      </c>
      <c r="E43" s="10" t="n">
        <v>7752</v>
      </c>
      <c r="F43" s="10" t="n">
        <v>8732</v>
      </c>
    </row>
    <row r="44">
      <c r="A44" s="6" t="inlineStr">
        <is>
          <t>Brand EBITDA Margin %</t>
        </is>
      </c>
      <c r="B44" s="11" t="n">
        <v>0.228</v>
      </c>
      <c r="C44" s="11" t="n">
        <v>0.228</v>
      </c>
      <c r="D44" s="11" t="n">
        <v>0.228</v>
      </c>
      <c r="E44" s="11" t="n">
        <v>0.228</v>
      </c>
      <c r="F44" s="11" t="n">
        <v>0.228</v>
      </c>
    </row>
    <row r="45">
      <c r="A45" s="6" t="inlineStr">
        <is>
          <t>D&amp;A</t>
        </is>
      </c>
      <c r="B45" s="7" t="n">
        <v>-2330</v>
      </c>
      <c r="C45" s="7" t="n">
        <v>-2748</v>
      </c>
      <c r="D45" s="7" t="n">
        <v>-3288</v>
      </c>
      <c r="E45" s="7" t="n">
        <v>-816</v>
      </c>
      <c r="F45" s="7" t="n">
        <v>-919</v>
      </c>
    </row>
    <row r="46">
      <c r="A46" s="9" t="inlineStr">
        <is>
          <t>EBIT</t>
        </is>
      </c>
      <c r="B46" s="10" t="n">
        <v>19808</v>
      </c>
      <c r="C46" s="10" t="n">
        <v>23358</v>
      </c>
      <c r="D46" s="10" t="n">
        <v>27948</v>
      </c>
      <c r="E46" s="10" t="n">
        <v>6936</v>
      </c>
      <c r="F46" s="10" t="n">
        <v>7813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14" t="inlineStr">
        <is>
          <t>Vitality — Brand &amp; Digital Metrics</t>
        </is>
      </c>
    </row>
    <row r="3">
      <c r="A3" s="3" t="inlineStr">
        <is>
          <t>KPI</t>
        </is>
      </c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Q1'24</t>
        </is>
      </c>
      <c r="F3" s="3" t="inlineStr">
        <is>
          <t>Q1'25</t>
        </is>
      </c>
      <c r="G3" s="3" t="inlineStr">
        <is>
          <t>YoY</t>
        </is>
      </c>
    </row>
    <row r="4">
      <c r="A4" s="15" t="inlineStr">
        <is>
          <t>Total Active Customers (000s)</t>
        </is>
      </c>
      <c r="B4" s="16" t="n">
        <v>412</v>
      </c>
      <c r="C4" s="16" t="n">
        <v>518</v>
      </c>
      <c r="D4" s="16" t="n">
        <v>641</v>
      </c>
      <c r="E4" s="16" t="n">
        <v>608</v>
      </c>
      <c r="F4" s="16" t="n">
        <v>694</v>
      </c>
      <c r="G4" s="17">
        <f>(G4-F4)/F4</f>
        <v/>
      </c>
    </row>
    <row r="5">
      <c r="A5" s="6" t="inlineStr">
        <is>
          <t>DTC Customer Acquisition Cost ($)</t>
        </is>
      </c>
      <c r="B5" s="18" t="n">
        <v>28.4</v>
      </c>
      <c r="C5" s="18" t="n">
        <v>26.1</v>
      </c>
      <c r="D5" s="18" t="n">
        <v>24.2</v>
      </c>
      <c r="E5" s="18" t="n">
        <v>24.8</v>
      </c>
      <c r="F5" s="18" t="n">
        <v>23.1</v>
      </c>
      <c r="G5" s="11">
        <f>(G5-F5)/F5</f>
        <v/>
      </c>
    </row>
    <row r="6">
      <c r="A6" s="15" t="inlineStr">
        <is>
          <t>DTC Customer LTV ($)</t>
        </is>
      </c>
      <c r="B6" s="16" t="n">
        <v>184</v>
      </c>
      <c r="C6" s="16" t="n">
        <v>196</v>
      </c>
      <c r="D6" s="16" t="n">
        <v>211</v>
      </c>
      <c r="E6" s="16" t="n">
        <v>208</v>
      </c>
      <c r="F6" s="16" t="n">
        <v>219</v>
      </c>
      <c r="G6" s="17">
        <f>(G6-F6)/F6</f>
        <v/>
      </c>
    </row>
    <row r="7">
      <c r="A7" s="6" t="inlineStr">
        <is>
          <t>LTV/CAC</t>
        </is>
      </c>
      <c r="B7" s="19">
        <f>C6/C5</f>
        <v/>
      </c>
      <c r="C7" s="19">
        <f>D6/D5</f>
        <v/>
      </c>
      <c r="D7" s="19">
        <f>E6/E5</f>
        <v/>
      </c>
      <c r="E7" s="19">
        <f>F6/F5</f>
        <v/>
      </c>
      <c r="F7" s="19">
        <f>G6/G5</f>
        <v/>
      </c>
      <c r="G7" s="11" t="inlineStr"/>
    </row>
    <row r="8">
      <c r="A8" s="15" t="inlineStr">
        <is>
          <t>DTC Repeat Purchase Rate %</t>
        </is>
      </c>
      <c r="B8" s="17" t="n">
        <v>0.481</v>
      </c>
      <c r="C8" s="17" t="n">
        <v>0.512</v>
      </c>
      <c r="D8" s="17" t="n">
        <v>0.541</v>
      </c>
      <c r="E8" s="17" t="n">
        <v>0.534</v>
      </c>
      <c r="F8" s="17" t="n">
        <v>0.5580000000000001</v>
      </c>
      <c r="G8" s="17" t="inlineStr"/>
    </row>
    <row r="9">
      <c r="A9" s="6" t="inlineStr">
        <is>
          <t>Amazon BSR (avg top SKUs)</t>
        </is>
      </c>
      <c r="B9" s="18" t="n">
        <v>842</v>
      </c>
      <c r="C9" s="18" t="n">
        <v>714</v>
      </c>
      <c r="D9" s="18" t="n">
        <v>612</v>
      </c>
      <c r="E9" s="18" t="n">
        <v>638</v>
      </c>
      <c r="F9" s="18" t="n">
        <v>581</v>
      </c>
      <c r="G9" s="11" t="inlineStr"/>
    </row>
    <row r="10">
      <c r="A10" s="15" t="inlineStr">
        <is>
          <t>Retail ACV Distribution %</t>
        </is>
      </c>
      <c r="B10" s="17" t="n">
        <v>0.621</v>
      </c>
      <c r="C10" s="17" t="n">
        <v>0.6840000000000001</v>
      </c>
      <c r="D10" s="17" t="n">
        <v>0.741</v>
      </c>
      <c r="E10" s="17" t="n">
        <v>0.728</v>
      </c>
      <c r="F10" s="17" t="n">
        <v>0.762</v>
      </c>
      <c r="G10" s="17" t="inlineStr"/>
    </row>
    <row r="11">
      <c r="A11" s="6" t="inlineStr">
        <is>
          <t>Revenue per SKU ($000s)</t>
        </is>
      </c>
      <c r="B11" s="18">
        <f>C5/48</f>
        <v/>
      </c>
      <c r="C11" s="18">
        <f>D5/52</f>
        <v/>
      </c>
      <c r="D11" s="18">
        <f>E5/58</f>
        <v/>
      </c>
      <c r="E11" s="18">
        <f>F5/58</f>
        <v/>
      </c>
      <c r="F11" s="18">
        <f>G5/61</f>
        <v/>
      </c>
      <c r="G11" s="11" t="inlineStr"/>
    </row>
    <row r="12">
      <c r="A12" s="15" t="inlineStr">
        <is>
          <t>Gross Margin ex-Amazon %</t>
        </is>
      </c>
      <c r="B12" s="17" t="n">
        <v>0.5620000000000001</v>
      </c>
      <c r="C12" s="17" t="n">
        <v>0.571</v>
      </c>
      <c r="D12" s="17" t="n">
        <v>0.579</v>
      </c>
      <c r="E12" s="17" t="n">
        <v>0.576</v>
      </c>
      <c r="F12" s="17" t="n">
        <v>0.584</v>
      </c>
      <c r="G12" s="17" t="inlineStr"/>
    </row>
    <row r="13">
      <c r="A13" s="6" t="inlineStr">
        <is>
          <t>Brand Awareness % (unaided)</t>
        </is>
      </c>
      <c r="B13" s="11" t="n">
        <v>0.141</v>
      </c>
      <c r="C13" s="11" t="n">
        <v>0.168</v>
      </c>
      <c r="D13" s="11" t="n">
        <v>0.194</v>
      </c>
      <c r="E13" s="11" t="n">
        <v>0.189</v>
      </c>
      <c r="F13" s="11" t="n">
        <v>0.212</v>
      </c>
      <c r="G13" s="11">
        <f>(G13-F13)/F13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4" t="inlineStr">
        <is>
          <t>Vitality — DCF</t>
        </is>
      </c>
    </row>
    <row r="4">
      <c r="A4" s="6" t="inlineStr">
        <is>
          <t>Revenue Growth Yr1-2</t>
        </is>
      </c>
      <c r="B4" s="20" t="n">
        <v>0.15</v>
      </c>
    </row>
    <row r="5">
      <c r="A5" s="6" t="inlineStr">
        <is>
          <t>Revenue Growth Yr3-5</t>
        </is>
      </c>
      <c r="B5" s="20" t="n">
        <v>0.1</v>
      </c>
    </row>
    <row r="6">
      <c r="A6" s="6" t="inlineStr">
        <is>
          <t>Brand EBITDA Margin</t>
        </is>
      </c>
      <c r="B6" s="20" t="n">
        <v>0.228</v>
      </c>
    </row>
    <row r="7">
      <c r="A7" s="6" t="inlineStr">
        <is>
          <t>D&amp;A % Rev</t>
        </is>
      </c>
      <c r="B7" s="20" t="n">
        <v>0.024</v>
      </c>
    </row>
    <row r="8">
      <c r="A8" s="6" t="inlineStr">
        <is>
          <t>Capex % Rev</t>
        </is>
      </c>
      <c r="B8" s="20" t="n">
        <v>0.028</v>
      </c>
    </row>
    <row r="9">
      <c r="A9" s="6" t="inlineStr">
        <is>
          <t>Tax Rate</t>
        </is>
      </c>
      <c r="B9" s="20" t="n">
        <v>0.26</v>
      </c>
    </row>
    <row r="10">
      <c r="A10" s="6" t="inlineStr">
        <is>
          <t>WACC</t>
        </is>
      </c>
      <c r="B10" s="20" t="n">
        <v>0.12</v>
      </c>
    </row>
    <row r="11">
      <c r="A11" s="6" t="inlineStr">
        <is>
          <t>Terminal Growth</t>
        </is>
      </c>
      <c r="B11" s="20" t="n">
        <v>0.03</v>
      </c>
    </row>
    <row r="14">
      <c r="A14" s="3" t="inlineStr"/>
      <c r="B14" s="3" t="inlineStr">
        <is>
          <t>2025E</t>
        </is>
      </c>
      <c r="C14" s="3" t="inlineStr">
        <is>
          <t>2026E</t>
        </is>
      </c>
      <c r="D14" s="3" t="inlineStr">
        <is>
          <t>2027E</t>
        </is>
      </c>
      <c r="E14" s="3" t="inlineStr">
        <is>
          <t>2028E</t>
        </is>
      </c>
      <c r="F14" s="3" t="inlineStr">
        <is>
          <t>2029E</t>
        </is>
      </c>
    </row>
    <row r="15">
      <c r="A15" s="6" t="inlineStr">
        <is>
          <t>Revenue</t>
        </is>
      </c>
      <c r="B15" s="7">
        <f>137000*(1+$B$4)</f>
        <v/>
      </c>
      <c r="C15" s="7">
        <f>B15*(1+$B$4)</f>
        <v/>
      </c>
      <c r="D15" s="7">
        <f>C15*(1+$B$5)</f>
        <v/>
      </c>
      <c r="E15" s="7">
        <f>D15*(1+$B$5)</f>
        <v/>
      </c>
      <c r="F15" s="7">
        <f>E15*(1+$B$5)</f>
        <v/>
      </c>
    </row>
    <row r="16">
      <c r="A16" s="6" t="inlineStr">
        <is>
          <t>Brand EBITDA</t>
        </is>
      </c>
      <c r="B16" s="7">
        <f>B15*$B$6</f>
        <v/>
      </c>
      <c r="C16" s="7">
        <f>C15*$B$6</f>
        <v/>
      </c>
      <c r="D16" s="7">
        <f>D15*$B$6</f>
        <v/>
      </c>
      <c r="E16" s="7">
        <f>E15*$B$6</f>
        <v/>
      </c>
      <c r="F16" s="7">
        <f>F15*$B$6</f>
        <v/>
      </c>
    </row>
    <row r="17">
      <c r="A17" s="6" t="inlineStr">
        <is>
          <t>D&amp;A</t>
        </is>
      </c>
      <c r="B17" s="7">
        <f>-B15*$B$7</f>
        <v/>
      </c>
      <c r="C17" s="7">
        <f>-C15*$B$7</f>
        <v/>
      </c>
      <c r="D17" s="7">
        <f>-D15*$B$7</f>
        <v/>
      </c>
      <c r="E17" s="7">
        <f>-E15*$B$7</f>
        <v/>
      </c>
      <c r="F17" s="7">
        <f>-F15*$B$7</f>
        <v/>
      </c>
    </row>
    <row r="18">
      <c r="A18" s="6" t="inlineStr">
        <is>
          <t>EBIT</t>
        </is>
      </c>
      <c r="B18" s="7">
        <f>B16+B17</f>
        <v/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</row>
    <row r="19">
      <c r="A19" s="6" t="inlineStr">
        <is>
          <t>Tax</t>
        </is>
      </c>
      <c r="B19" s="7">
        <f>-B18*(1-$B$9)</f>
        <v/>
      </c>
      <c r="C19" s="7">
        <f>-C18*(1-$B$9)</f>
        <v/>
      </c>
      <c r="D19" s="7">
        <f>-D18*(1-$B$9)</f>
        <v/>
      </c>
      <c r="E19" s="7">
        <f>-E18*(1-$B$9)</f>
        <v/>
      </c>
      <c r="F19" s="7">
        <f>-F18*(1-$B$9)</f>
        <v/>
      </c>
    </row>
    <row r="20">
      <c r="A20" s="6" t="inlineStr">
        <is>
          <t>Add D&amp;A</t>
        </is>
      </c>
      <c r="B20" s="7">
        <f>-B17</f>
        <v/>
      </c>
      <c r="C20" s="7">
        <f>-C17</f>
        <v/>
      </c>
      <c r="D20" s="7">
        <f>-D17</f>
        <v/>
      </c>
      <c r="E20" s="7">
        <f>-E17</f>
        <v/>
      </c>
      <c r="F20" s="7">
        <f>-F17</f>
        <v/>
      </c>
    </row>
    <row r="21">
      <c r="A21" s="6" t="inlineStr">
        <is>
          <t>Capex</t>
        </is>
      </c>
      <c r="B21" s="7">
        <f>-B15*$B$8</f>
        <v/>
      </c>
      <c r="C21" s="7">
        <f>-C15*$B$8</f>
        <v/>
      </c>
      <c r="D21" s="7">
        <f>-D15*$B$8</f>
        <v/>
      </c>
      <c r="E21" s="7">
        <f>-E15*$B$8</f>
        <v/>
      </c>
      <c r="F21" s="7">
        <f>-F15*$B$8</f>
        <v/>
      </c>
    </row>
    <row r="22">
      <c r="A22" s="9" t="inlineStr">
        <is>
          <t>FCF</t>
        </is>
      </c>
      <c r="B22" s="7">
        <f>SUM(B16:B22)</f>
        <v/>
      </c>
      <c r="C22" s="7">
        <f>SUM(C16:C22)</f>
        <v/>
      </c>
      <c r="D22" s="7">
        <f>SUM(D16:D22)</f>
        <v/>
      </c>
      <c r="E22" s="7">
        <f>SUM(E16:E22)</f>
        <v/>
      </c>
      <c r="F22" s="7">
        <f>SUM(F16:F22)</f>
        <v/>
      </c>
    </row>
    <row r="23">
      <c r="A23" s="6" t="inlineStr">
        <is>
          <t>Disc</t>
        </is>
      </c>
      <c r="B23" s="7">
        <f>1/(1+$B$10)^1</f>
        <v/>
      </c>
      <c r="C23" s="7">
        <f>1/(1+$B$10)^2</f>
        <v/>
      </c>
      <c r="D23" s="7">
        <f>1/(1+$B$10)^3</f>
        <v/>
      </c>
      <c r="E23" s="7">
        <f>1/(1+$B$10)^4</f>
        <v/>
      </c>
      <c r="F23" s="7">
        <f>1/(1+$B$10)^5</f>
        <v/>
      </c>
    </row>
    <row r="24">
      <c r="A24" s="6" t="inlineStr">
        <is>
          <t>PV FCF</t>
        </is>
      </c>
      <c r="B24" s="7">
        <f>B23*B24</f>
        <v/>
      </c>
      <c r="C24" s="7">
        <f>C23*C24</f>
        <v/>
      </c>
      <c r="D24" s="7">
        <f>D23*D24</f>
        <v/>
      </c>
      <c r="E24" s="7">
        <f>E23*E24</f>
        <v/>
      </c>
      <c r="F24" s="7">
        <f>F23*F24</f>
        <v/>
      </c>
    </row>
    <row r="26">
      <c r="A26" s="21" t="inlineStr">
        <is>
          <t>Valuation</t>
        </is>
      </c>
    </row>
    <row r="27">
      <c r="A27" s="6" t="inlineStr">
        <is>
          <t>PV FCFs</t>
        </is>
      </c>
      <c r="B27" s="7">
        <f>SUM(B25:F25)</f>
        <v/>
      </c>
    </row>
    <row r="28">
      <c r="A28" s="6" t="inlineStr">
        <is>
          <t>TV</t>
        </is>
      </c>
      <c r="B28" s="7">
        <f>F23*(1+$B$11)/($B$10-$B$11)</f>
        <v/>
      </c>
    </row>
    <row r="29">
      <c r="A29" s="6" t="inlineStr">
        <is>
          <t>PV TV</t>
        </is>
      </c>
      <c r="B29" s="7">
        <f>B28/(1+$B$10)^5</f>
        <v/>
      </c>
    </row>
    <row r="30">
      <c r="A30" s="9" t="inlineStr">
        <is>
          <t>EV</t>
        </is>
      </c>
      <c r="B30" s="7">
        <f>B27+B29</f>
        <v/>
      </c>
    </row>
    <row r="31">
      <c r="A31" s="6" t="inlineStr">
        <is>
          <t>Net Debt</t>
        </is>
      </c>
      <c r="B31" s="7" t="n">
        <v>-14200</v>
      </c>
    </row>
    <row r="32">
      <c r="A32" s="9" t="inlineStr">
        <is>
          <t>Equity Value</t>
        </is>
      </c>
      <c r="B32" s="7">
        <f>B30+B31</f>
        <v/>
      </c>
    </row>
  </sheetData>
  <mergeCells count="2">
    <mergeCell ref="A26:C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
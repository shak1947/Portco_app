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Results" sheetId="1" state="visible" r:id="rId1"/>
    <sheet xmlns:r="http://schemas.openxmlformats.org/officeDocument/2006/relationships" name="Operational Data" sheetId="2" state="visible" r:id="rId2"/>
    <sheet xmlns:r="http://schemas.openxmlformats.org/officeDocument/2006/relationships" name="DCF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;(#,##0.0);&quot;-&quot;"/>
    <numFmt numFmtId="165" formatCode="0.0%"/>
  </numFmts>
  <fonts count="11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000000"/>
      <sz val="9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color rgb="00595959"/>
      <sz val="10"/>
    </font>
    <font>
      <name val="Arial"/>
      <sz val="10"/>
    </font>
    <font>
      <name val="Arial"/>
      <b val="1"/>
      <sz val="10"/>
    </font>
    <font>
      <name val="Arial"/>
      <color rgb="00000000"/>
      <sz val="10"/>
    </font>
    <font>
      <name val="Arial"/>
      <b val="1"/>
      <color rgb="00FFFFFF"/>
      <sz val="12"/>
    </font>
    <font>
      <name val="Arial"/>
      <color rgb="002E75B6"/>
      <sz val="10"/>
    </font>
  </fonts>
  <fills count="5">
    <fill>
      <patternFill/>
    </fill>
    <fill>
      <patternFill patternType="gray125"/>
    </fill>
    <fill>
      <patternFill patternType="solid">
        <fgColor rgb="00843C0C"/>
      </patternFill>
    </fill>
    <fill>
      <patternFill patternType="solid">
        <fgColor rgb="00F2F2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left" vertical="center"/>
    </xf>
    <xf numFmtId="0" fontId="0" fillId="3" borderId="0" pivotButton="0" quotePrefix="0" xfId="0"/>
    <xf numFmtId="0" fontId="5" fillId="0" borderId="0" applyAlignment="1" pivotButton="0" quotePrefix="0" xfId="0">
      <alignment horizontal="left" vertical="center"/>
    </xf>
    <xf numFmtId="164" fontId="6" fillId="0" borderId="0" applyAlignment="1" pivotButton="0" quotePrefix="0" xfId="0">
      <alignment horizontal="right"/>
    </xf>
    <xf numFmtId="165" fontId="6" fillId="0" borderId="0" applyAlignment="1" pivotButton="0" quotePrefix="0" xfId="0">
      <alignment horizontal="right"/>
    </xf>
    <xf numFmtId="0" fontId="4" fillId="0" borderId="0" applyAlignment="1" pivotButton="0" quotePrefix="0" xfId="0">
      <alignment horizontal="left" vertical="center"/>
    </xf>
    <xf numFmtId="164" fontId="7" fillId="0" borderId="0" applyAlignment="1" pivotButton="0" quotePrefix="0" xfId="0">
      <alignment horizontal="right"/>
    </xf>
    <xf numFmtId="165" fontId="7" fillId="0" borderId="0" applyAlignment="1" pivotButton="0" quotePrefix="0" xfId="0">
      <alignment horizontal="right"/>
    </xf>
    <xf numFmtId="0" fontId="8" fillId="0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/>
    </xf>
    <xf numFmtId="0" fontId="8" fillId="3" borderId="0" applyAlignment="1" pivotButton="0" quotePrefix="0" xfId="0">
      <alignment horizontal="left" vertical="center"/>
    </xf>
    <xf numFmtId="164" fontId="6" fillId="3" borderId="0" applyAlignment="1" pivotButton="0" quotePrefix="0" xfId="0">
      <alignment horizontal="right"/>
    </xf>
    <xf numFmtId="165" fontId="6" fillId="3" borderId="0" applyAlignment="1" pivotButton="0" quotePrefix="0" xfId="0">
      <alignment horizontal="right"/>
    </xf>
    <xf numFmtId="165" fontId="10" fillId="0" borderId="0" applyAlignment="1" pivotButton="0" quotePrefix="0" xfId="0">
      <alignment horizontal="right"/>
    </xf>
    <xf numFmtId="0" fontId="4" fillId="4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9" customWidth="1" min="7" max="7"/>
  </cols>
  <sheetData>
    <row r="1">
      <c r="A1" s="1" t="inlineStr">
        <is>
          <t>Permian Energy Services Partners LP</t>
        </is>
      </c>
    </row>
    <row r="2">
      <c r="A2" s="2" t="inlineStr">
        <is>
          <t>Operations: Permian Basin | Bakken | Eagle Ford | All figures $MM unless noted</t>
        </is>
      </c>
    </row>
    <row r="4">
      <c r="A4" s="3" t="inlineStr"/>
      <c r="B4" s="3" t="inlineStr">
        <is>
          <t>FY2022A</t>
        </is>
      </c>
      <c r="C4" s="3" t="inlineStr">
        <is>
          <t>FY2023A</t>
        </is>
      </c>
      <c r="D4" s="3" t="inlineStr">
        <is>
          <t>FY2024A</t>
        </is>
      </c>
      <c r="E4" s="3" t="inlineStr">
        <is>
          <t>Q1'24A</t>
        </is>
      </c>
      <c r="F4" s="3" t="inlineStr">
        <is>
          <t>Q1'25A</t>
        </is>
      </c>
      <c r="G4" s="3" t="inlineStr">
        <is>
          <t>YoY %</t>
        </is>
      </c>
    </row>
    <row r="5">
      <c r="A5" s="4" t="inlineStr">
        <is>
          <t>SERVICE REVENUE</t>
        </is>
      </c>
      <c r="B5" s="5" t="n"/>
      <c r="C5" s="5" t="n"/>
      <c r="D5" s="5" t="n"/>
      <c r="E5" s="5" t="n"/>
      <c r="F5" s="5" t="n"/>
      <c r="G5" s="5" t="n"/>
    </row>
    <row r="6">
      <c r="A6" s="6" t="inlineStr">
        <is>
          <t xml:space="preserve">  Well Services</t>
        </is>
      </c>
      <c r="B6" s="7" t="n">
        <v>84.2</v>
      </c>
      <c r="C6" s="7" t="n">
        <v>96.09999999999999</v>
      </c>
      <c r="D6" s="7" t="n">
        <v>108.4</v>
      </c>
      <c r="E6" s="7" t="n">
        <v>26.8</v>
      </c>
      <c r="F6" s="7" t="n">
        <v>29.4</v>
      </c>
      <c r="G6" s="8">
        <f>(G6-F6)/F6</f>
        <v/>
      </c>
    </row>
    <row r="7">
      <c r="A7" s="6" t="inlineStr">
        <is>
          <t xml:space="preserve">  Completion Services</t>
        </is>
      </c>
      <c r="B7" s="7" t="n">
        <v>62.1</v>
      </c>
      <c r="C7" s="7" t="n">
        <v>71.8</v>
      </c>
      <c r="D7" s="7" t="n">
        <v>81.2</v>
      </c>
      <c r="E7" s="7" t="n">
        <v>20.1</v>
      </c>
      <c r="F7" s="7" t="n">
        <v>22.8</v>
      </c>
      <c r="G7" s="8">
        <f>(G7-F7)/F7</f>
        <v/>
      </c>
    </row>
    <row r="8">
      <c r="A8" s="6" t="inlineStr">
        <is>
          <t xml:space="preserve">  Production Services</t>
        </is>
      </c>
      <c r="B8" s="7" t="n">
        <v>38.4</v>
      </c>
      <c r="C8" s="7" t="n">
        <v>44.2</v>
      </c>
      <c r="D8" s="7" t="n">
        <v>51.6</v>
      </c>
      <c r="E8" s="7" t="n">
        <v>12.8</v>
      </c>
      <c r="F8" s="7" t="n">
        <v>14.2</v>
      </c>
      <c r="G8" s="8">
        <f>(G8-F8)/F8</f>
        <v/>
      </c>
    </row>
    <row r="9">
      <c r="A9" s="6" t="inlineStr">
        <is>
          <t xml:space="preserve">  Equipment Rental</t>
        </is>
      </c>
      <c r="B9" s="7" t="n">
        <v>22.1</v>
      </c>
      <c r="C9" s="7" t="n">
        <v>24.8</v>
      </c>
      <c r="D9" s="7" t="n">
        <v>28.4</v>
      </c>
      <c r="E9" s="7" t="n">
        <v>7.1</v>
      </c>
      <c r="F9" s="7" t="n">
        <v>7.9</v>
      </c>
      <c r="G9" s="8">
        <f>(G9-F9)/F9</f>
        <v/>
      </c>
    </row>
    <row r="10">
      <c r="A10" s="9" t="inlineStr">
        <is>
          <t>Total Revenue ($MM)</t>
        </is>
      </c>
      <c r="B10" s="10" t="n">
        <v>206.8</v>
      </c>
      <c r="C10" s="10" t="n">
        <v>236.9</v>
      </c>
      <c r="D10" s="10" t="n">
        <v>269.6</v>
      </c>
      <c r="E10" s="10" t="n">
        <v>66.8</v>
      </c>
      <c r="F10" s="10" t="n">
        <v>74.3</v>
      </c>
      <c r="G10" s="11">
        <f>(G10-F10)/F10</f>
        <v/>
      </c>
    </row>
    <row r="11">
      <c r="A11" s="4" t="inlineStr">
        <is>
          <t>COSTS</t>
        </is>
      </c>
      <c r="B11" s="5" t="n"/>
      <c r="C11" s="5" t="n"/>
      <c r="D11" s="5" t="n"/>
      <c r="E11" s="5" t="n"/>
      <c r="F11" s="5" t="n"/>
      <c r="G11" s="5" t="n"/>
    </row>
    <row r="12">
      <c r="A12" s="6" t="inlineStr">
        <is>
          <t xml:space="preserve">  Field Operating Costs</t>
        </is>
      </c>
      <c r="B12" s="7" t="n">
        <v>128.4</v>
      </c>
      <c r="C12" s="7" t="n">
        <v>146.2</v>
      </c>
      <c r="D12" s="7" t="n">
        <v>165.8</v>
      </c>
      <c r="E12" s="7" t="n">
        <v>41.2</v>
      </c>
      <c r="F12" s="7" t="n">
        <v>45.1</v>
      </c>
      <c r="G12" s="8" t="inlineStr"/>
    </row>
    <row r="13">
      <c r="A13" s="6" t="inlineStr">
        <is>
          <t xml:space="preserve">  G&amp;A</t>
        </is>
      </c>
      <c r="B13" s="7" t="n">
        <v>18.2</v>
      </c>
      <c r="C13" s="7" t="n">
        <v>20.4</v>
      </c>
      <c r="D13" s="7" t="n">
        <v>22.8</v>
      </c>
      <c r="E13" s="7" t="n">
        <v>5.7</v>
      </c>
      <c r="F13" s="7" t="n">
        <v>6.2</v>
      </c>
      <c r="G13" s="8" t="inlineStr"/>
    </row>
    <row r="14">
      <c r="A14" s="9" t="inlineStr">
        <is>
          <t>Gross Operating Income</t>
        </is>
      </c>
      <c r="B14" s="10" t="n">
        <v>60.2</v>
      </c>
      <c r="C14" s="10" t="n">
        <v>70.3</v>
      </c>
      <c r="D14" s="10" t="n">
        <v>81</v>
      </c>
      <c r="E14" s="10" t="n">
        <v>19.9</v>
      </c>
      <c r="F14" s="10" t="n">
        <v>23</v>
      </c>
      <c r="G14" s="11">
        <f>(G14-F14)/F14</f>
        <v/>
      </c>
    </row>
    <row r="15">
      <c r="A15" s="9" t="inlineStr">
        <is>
          <t>EBITDA ($MM)</t>
        </is>
      </c>
      <c r="B15" s="10" t="n">
        <v>60.2</v>
      </c>
      <c r="C15" s="10" t="n">
        <v>70.3</v>
      </c>
      <c r="D15" s="10" t="n">
        <v>81</v>
      </c>
      <c r="E15" s="10" t="n">
        <v>19.9</v>
      </c>
      <c r="F15" s="10" t="n">
        <v>23</v>
      </c>
      <c r="G15" s="11">
        <f>(G15-F15)/F15</f>
        <v/>
      </c>
    </row>
    <row r="16">
      <c r="A16" s="6" t="inlineStr">
        <is>
          <t xml:space="preserve">  Exploration Write-offs</t>
        </is>
      </c>
      <c r="B16" s="7" t="n">
        <v>2.1</v>
      </c>
      <c r="C16" s="7" t="n">
        <v>1.8</v>
      </c>
      <c r="D16" s="7" t="n">
        <v>1.4</v>
      </c>
      <c r="E16" s="7" t="n">
        <v>0.3</v>
      </c>
      <c r="F16" s="7" t="n">
        <v>0.5</v>
      </c>
      <c r="G16" s="8" t="inlineStr"/>
    </row>
    <row r="17">
      <c r="A17" s="6" t="inlineStr">
        <is>
          <t xml:space="preserve">  Dry Hole Costs</t>
        </is>
      </c>
      <c r="B17" s="7" t="n">
        <v>1.4</v>
      </c>
      <c r="C17" s="7" t="n">
        <v>0.8</v>
      </c>
      <c r="D17" s="7" t="n">
        <v>0.6</v>
      </c>
      <c r="E17" s="7" t="n">
        <v>0.1</v>
      </c>
      <c r="F17" s="7" t="n">
        <v>0.2</v>
      </c>
      <c r="G17" s="8" t="inlineStr"/>
    </row>
    <row r="18">
      <c r="A18" s="9" t="inlineStr">
        <is>
          <t>EBITDAX ($MM)</t>
        </is>
      </c>
      <c r="B18" s="10" t="n">
        <v>63.7</v>
      </c>
      <c r="C18" s="10" t="n">
        <v>72.90000000000001</v>
      </c>
      <c r="D18" s="10" t="n">
        <v>83</v>
      </c>
      <c r="E18" s="10" t="n">
        <v>20.3</v>
      </c>
      <c r="F18" s="10" t="n">
        <v>23.7</v>
      </c>
      <c r="G18" s="11">
        <f>(G18-F18)/F18</f>
        <v/>
      </c>
    </row>
    <row r="19">
      <c r="A19" s="12" t="inlineStr">
        <is>
          <t>EBITDAX Margin %</t>
        </is>
      </c>
      <c r="B19" s="8">
        <f>C18/C10</f>
        <v/>
      </c>
      <c r="C19" s="8">
        <f>D18/D10</f>
        <v/>
      </c>
      <c r="D19" s="8">
        <f>E18/E10</f>
        <v/>
      </c>
      <c r="E19" s="8">
        <f>F18/F10</f>
        <v/>
      </c>
      <c r="F19" s="8">
        <f>G18/G10</f>
        <v/>
      </c>
      <c r="G19" s="8" t="inlineStr"/>
    </row>
    <row r="20">
      <c r="A20" s="12" t="inlineStr">
        <is>
          <t>D&amp;A &amp; Depletion</t>
        </is>
      </c>
      <c r="B20" s="7" t="n">
        <v>22.4</v>
      </c>
      <c r="C20" s="7" t="n">
        <v>25.8</v>
      </c>
      <c r="D20" s="7" t="n">
        <v>29.4</v>
      </c>
      <c r="E20" s="7" t="n">
        <v>7.4</v>
      </c>
      <c r="F20" s="7" t="n">
        <v>8.1</v>
      </c>
      <c r="G20" s="8" t="inlineStr"/>
    </row>
    <row r="21">
      <c r="A21" s="9" t="inlineStr">
        <is>
          <t>EBIT</t>
        </is>
      </c>
      <c r="B21" s="10" t="n">
        <v>37.8</v>
      </c>
      <c r="C21" s="10" t="n">
        <v>44.5</v>
      </c>
      <c r="D21" s="10" t="n">
        <v>51.6</v>
      </c>
      <c r="E21" s="10" t="n">
        <v>12.5</v>
      </c>
      <c r="F21" s="10" t="n">
        <v>14.9</v>
      </c>
      <c r="G21" s="11">
        <f>(G21-F21)/F21</f>
        <v/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9" customWidth="1" min="7" max="7"/>
  </cols>
  <sheetData>
    <row r="1">
      <c r="A1" s="13" t="inlineStr">
        <is>
          <t>Permian Energy — Field Operations Metrics</t>
        </is>
      </c>
    </row>
    <row r="3">
      <c r="A3" s="3" t="inlineStr">
        <is>
          <t>KPI</t>
        </is>
      </c>
      <c r="B3" s="3" t="inlineStr">
        <is>
          <t>FY2022</t>
        </is>
      </c>
      <c r="C3" s="3" t="inlineStr">
        <is>
          <t>FY2023</t>
        </is>
      </c>
      <c r="D3" s="3" t="inlineStr">
        <is>
          <t>FY2024</t>
        </is>
      </c>
      <c r="E3" s="3" t="inlineStr">
        <is>
          <t>Q1'24</t>
        </is>
      </c>
      <c r="F3" s="3" t="inlineStr">
        <is>
          <t>Q1'25</t>
        </is>
      </c>
      <c r="G3" s="3" t="inlineStr">
        <is>
          <t>YoY</t>
        </is>
      </c>
    </row>
    <row r="4">
      <c r="A4" s="14" t="inlineStr">
        <is>
          <t>Active Rigs (count)</t>
        </is>
      </c>
      <c r="B4" s="15" t="n">
        <v>48</v>
      </c>
      <c r="C4" s="15" t="n">
        <v>54</v>
      </c>
      <c r="D4" s="15" t="n">
        <v>61</v>
      </c>
      <c r="E4" s="15" t="n">
        <v>58</v>
      </c>
      <c r="F4" s="15" t="n">
        <v>64</v>
      </c>
      <c r="G4" s="16">
        <f>G4-F4</f>
        <v/>
      </c>
    </row>
    <row r="5">
      <c r="A5" s="12" t="inlineStr">
        <is>
          <t>Revenue per Rig Day ($000s)</t>
        </is>
      </c>
      <c r="B5" s="7" t="n">
        <v>11.8</v>
      </c>
      <c r="C5" s="7" t="n">
        <v>12.1</v>
      </c>
      <c r="D5" s="7" t="n">
        <v>12.4</v>
      </c>
      <c r="E5" s="7" t="n">
        <v>12.3</v>
      </c>
      <c r="F5" s="7" t="n">
        <v>12.6</v>
      </c>
      <c r="G5" s="8">
        <f>(G5-F5)/F5</f>
        <v/>
      </c>
    </row>
    <row r="6">
      <c r="A6" s="14" t="inlineStr">
        <is>
          <t>Rig Utilization %</t>
        </is>
      </c>
      <c r="B6" s="16" t="n">
        <v>0.8120000000000001</v>
      </c>
      <c r="C6" s="16" t="n">
        <v>0.831</v>
      </c>
      <c r="D6" s="16" t="n">
        <v>0.856</v>
      </c>
      <c r="E6" s="16" t="n">
        <v>0.848</v>
      </c>
      <c r="F6" s="16" t="n">
        <v>0.871</v>
      </c>
      <c r="G6" s="16" t="inlineStr"/>
    </row>
    <row r="7">
      <c r="A7" s="12" t="inlineStr">
        <is>
          <t>Wells Completed</t>
        </is>
      </c>
      <c r="B7" s="7" t="n">
        <v>284</v>
      </c>
      <c r="C7" s="7" t="n">
        <v>318</v>
      </c>
      <c r="D7" s="7" t="n">
        <v>361</v>
      </c>
      <c r="E7" s="7" t="n">
        <v>88</v>
      </c>
      <c r="F7" s="7" t="n">
        <v>98</v>
      </c>
      <c r="G7" s="8" t="inlineStr"/>
    </row>
    <row r="8">
      <c r="A8" s="14" t="inlineStr">
        <is>
          <t>Avg Days per Well</t>
        </is>
      </c>
      <c r="B8" s="15" t="n">
        <v>18.4</v>
      </c>
      <c r="C8" s="15" t="n">
        <v>17.8</v>
      </c>
      <c r="D8" s="15" t="n">
        <v>17.1</v>
      </c>
      <c r="E8" s="15" t="n">
        <v>17.4</v>
      </c>
      <c r="F8" s="15" t="n">
        <v>16.8</v>
      </c>
      <c r="G8" s="16" t="inlineStr"/>
    </row>
    <row r="9">
      <c r="A9" s="12" t="inlineStr">
        <is>
          <t>Revenue per Well ($MM)</t>
        </is>
      </c>
      <c r="B9" s="8" t="n">
        <v>0.728</v>
      </c>
      <c r="C9" s="8" t="n">
        <v>0.745</v>
      </c>
      <c r="D9" s="8" t="n">
        <v>0.747</v>
      </c>
      <c r="E9" s="8" t="n">
        <v>0.759</v>
      </c>
      <c r="F9" s="8" t="n">
        <v>0.758</v>
      </c>
      <c r="G9" s="8" t="inlineStr"/>
    </row>
    <row r="10">
      <c r="A10" s="14" t="inlineStr">
        <is>
          <t>Field EBITDA Margin %</t>
        </is>
      </c>
      <c r="B10" s="16" t="n">
        <v>0.291</v>
      </c>
      <c r="C10" s="16" t="n">
        <v>0.297</v>
      </c>
      <c r="D10" s="16" t="n">
        <v>0.301</v>
      </c>
      <c r="E10" s="16" t="n">
        <v>0.298</v>
      </c>
      <c r="F10" s="16" t="n">
        <v>0.31</v>
      </c>
      <c r="G10" s="16" t="inlineStr"/>
    </row>
    <row r="11">
      <c r="A11" s="12" t="inlineStr">
        <is>
          <t>Headcount</t>
        </is>
      </c>
      <c r="B11" s="7" t="n">
        <v>1842</v>
      </c>
      <c r="C11" s="7" t="n">
        <v>2014</v>
      </c>
      <c r="D11" s="7" t="n">
        <v>2218</v>
      </c>
      <c r="E11" s="7" t="n">
        <v>2148</v>
      </c>
      <c r="F11" s="7" t="n">
        <v>2284</v>
      </c>
      <c r="G11" s="8" t="inlineStr"/>
    </row>
    <row r="12">
      <c r="A12" s="14" t="inlineStr">
        <is>
          <t>Revenue per Employee ($MM)</t>
        </is>
      </c>
      <c r="B12" s="15">
        <f>C10/C12</f>
        <v/>
      </c>
      <c r="C12" s="15">
        <f>D10/D12</f>
        <v/>
      </c>
      <c r="D12" s="15">
        <f>E10/E12</f>
        <v/>
      </c>
      <c r="E12" s="15">
        <f>F10/F12</f>
        <v/>
      </c>
      <c r="F12" s="15">
        <f>G10/G12</f>
        <v/>
      </c>
      <c r="G12" s="16" t="inlineStr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3" t="inlineStr">
        <is>
          <t>Permian Energy — DCF</t>
        </is>
      </c>
    </row>
    <row r="4">
      <c r="A4" s="12" t="inlineStr">
        <is>
          <t>Revenue Growth Yr1-2</t>
        </is>
      </c>
      <c r="B4" s="17" t="n">
        <v>0.12</v>
      </c>
    </row>
    <row r="5">
      <c r="A5" s="12" t="inlineStr">
        <is>
          <t>Revenue Growth Yr3-5</t>
        </is>
      </c>
      <c r="B5" s="17" t="n">
        <v>0.08</v>
      </c>
    </row>
    <row r="6">
      <c r="A6" s="12" t="inlineStr">
        <is>
          <t>EBITDAX Margin</t>
        </is>
      </c>
      <c r="B6" s="17" t="n">
        <v>0.308</v>
      </c>
    </row>
    <row r="7">
      <c r="A7" s="12" t="inlineStr">
        <is>
          <t>D&amp;A % Rev</t>
        </is>
      </c>
      <c r="B7" s="17" t="n">
        <v>0.109</v>
      </c>
    </row>
    <row r="8">
      <c r="A8" s="12" t="inlineStr">
        <is>
          <t>Capex % Rev</t>
        </is>
      </c>
      <c r="B8" s="17" t="n">
        <v>0.138</v>
      </c>
    </row>
    <row r="9">
      <c r="A9" s="12" t="inlineStr">
        <is>
          <t>Tax Rate</t>
        </is>
      </c>
      <c r="B9" s="17" t="n">
        <v>0.21</v>
      </c>
    </row>
    <row r="10">
      <c r="A10" s="12" t="inlineStr">
        <is>
          <t>WACC</t>
        </is>
      </c>
      <c r="B10" s="17" t="n">
        <v>0.12</v>
      </c>
    </row>
    <row r="11">
      <c r="A11" s="12" t="inlineStr">
        <is>
          <t>Terminal Growth</t>
        </is>
      </c>
      <c r="B11" s="17" t="n">
        <v>0.02</v>
      </c>
    </row>
    <row r="14">
      <c r="A14" s="3" t="inlineStr"/>
      <c r="B14" s="3" t="inlineStr">
        <is>
          <t>2025E</t>
        </is>
      </c>
      <c r="C14" s="3" t="inlineStr">
        <is>
          <t>2026E</t>
        </is>
      </c>
      <c r="D14" s="3" t="inlineStr">
        <is>
          <t>2027E</t>
        </is>
      </c>
      <c r="E14" s="3" t="inlineStr">
        <is>
          <t>2028E</t>
        </is>
      </c>
      <c r="F14" s="3" t="inlineStr">
        <is>
          <t>2029E</t>
        </is>
      </c>
    </row>
    <row r="15">
      <c r="A15" s="12" t="inlineStr">
        <is>
          <t>Revenue ($MM)</t>
        </is>
      </c>
      <c r="B15" s="7">
        <f>269.6*(1+$B$4)</f>
        <v/>
      </c>
      <c r="C15" s="7">
        <f>B15*(1+$B$4)</f>
        <v/>
      </c>
      <c r="D15" s="7">
        <f>C15*(1+$B$5)</f>
        <v/>
      </c>
      <c r="E15" s="7">
        <f>D15*(1+$B$5)</f>
        <v/>
      </c>
      <c r="F15" s="7">
        <f>E15*(1+$B$5)</f>
        <v/>
      </c>
    </row>
    <row r="16">
      <c r="A16" s="12" t="inlineStr">
        <is>
          <t>EBITDAX</t>
        </is>
      </c>
      <c r="B16" s="7">
        <f>B15*$B$6</f>
        <v/>
      </c>
      <c r="C16" s="7">
        <f>C15*$B$6</f>
        <v/>
      </c>
      <c r="D16" s="7">
        <f>D15*$B$6</f>
        <v/>
      </c>
      <c r="E16" s="7">
        <f>E15*$B$6</f>
        <v/>
      </c>
      <c r="F16" s="7">
        <f>F15*$B$6</f>
        <v/>
      </c>
    </row>
    <row r="17">
      <c r="A17" s="12" t="inlineStr">
        <is>
          <t>D&amp;A</t>
        </is>
      </c>
      <c r="B17" s="7">
        <f>-B15*$B$7</f>
        <v/>
      </c>
      <c r="C17" s="7">
        <f>-C15*$B$7</f>
        <v/>
      </c>
      <c r="D17" s="7">
        <f>-D15*$B$7</f>
        <v/>
      </c>
      <c r="E17" s="7">
        <f>-E15*$B$7</f>
        <v/>
      </c>
      <c r="F17" s="7">
        <f>-F15*$B$7</f>
        <v/>
      </c>
    </row>
    <row r="18">
      <c r="A18" s="12" t="inlineStr">
        <is>
          <t>EBIT</t>
        </is>
      </c>
      <c r="B18" s="7">
        <f>B16+B17</f>
        <v/>
      </c>
      <c r="C18" s="7">
        <f>C16+C17</f>
        <v/>
      </c>
      <c r="D18" s="7">
        <f>D16+D17</f>
        <v/>
      </c>
      <c r="E18" s="7">
        <f>E16+E17</f>
        <v/>
      </c>
      <c r="F18" s="7">
        <f>F16+F17</f>
        <v/>
      </c>
    </row>
    <row r="19">
      <c r="A19" s="12" t="inlineStr">
        <is>
          <t>Tax</t>
        </is>
      </c>
      <c r="B19" s="7">
        <f>-B18*(1-$B$9)</f>
        <v/>
      </c>
      <c r="C19" s="7">
        <f>-C18*(1-$B$9)</f>
        <v/>
      </c>
      <c r="D19" s="7">
        <f>-D18*(1-$B$9)</f>
        <v/>
      </c>
      <c r="E19" s="7">
        <f>-E18*(1-$B$9)</f>
        <v/>
      </c>
      <c r="F19" s="7">
        <f>-F18*(1-$B$9)</f>
        <v/>
      </c>
    </row>
    <row r="20">
      <c r="A20" s="12" t="inlineStr">
        <is>
          <t>Add D&amp;A</t>
        </is>
      </c>
      <c r="B20" s="7">
        <f>-B17</f>
        <v/>
      </c>
      <c r="C20" s="7">
        <f>-C17</f>
        <v/>
      </c>
      <c r="D20" s="7">
        <f>-D17</f>
        <v/>
      </c>
      <c r="E20" s="7">
        <f>-E17</f>
        <v/>
      </c>
      <c r="F20" s="7">
        <f>-F17</f>
        <v/>
      </c>
    </row>
    <row r="21">
      <c r="A21" s="12" t="inlineStr">
        <is>
          <t>Capex</t>
        </is>
      </c>
      <c r="B21" s="7">
        <f>-B15*$B$8</f>
        <v/>
      </c>
      <c r="C21" s="7">
        <f>-C15*$B$8</f>
        <v/>
      </c>
      <c r="D21" s="7">
        <f>-D15*$B$8</f>
        <v/>
      </c>
      <c r="E21" s="7">
        <f>-E15*$B$8</f>
        <v/>
      </c>
      <c r="F21" s="7">
        <f>-F15*$B$8</f>
        <v/>
      </c>
    </row>
    <row r="22">
      <c r="A22" s="9" t="inlineStr">
        <is>
          <t>FCF</t>
        </is>
      </c>
      <c r="B22" s="7">
        <f>SUM(B16:B22)</f>
        <v/>
      </c>
      <c r="C22" s="7">
        <f>SUM(C16:C22)</f>
        <v/>
      </c>
      <c r="D22" s="7">
        <f>SUM(D16:D22)</f>
        <v/>
      </c>
      <c r="E22" s="7">
        <f>SUM(E16:E22)</f>
        <v/>
      </c>
      <c r="F22" s="7">
        <f>SUM(F16:F22)</f>
        <v/>
      </c>
    </row>
    <row r="23">
      <c r="A23" s="12" t="inlineStr">
        <is>
          <t>Disc</t>
        </is>
      </c>
      <c r="B23" s="7">
        <f>1/(1+$B$10)^1</f>
        <v/>
      </c>
      <c r="C23" s="7">
        <f>1/(1+$B$10)^2</f>
        <v/>
      </c>
      <c r="D23" s="7">
        <f>1/(1+$B$10)^3</f>
        <v/>
      </c>
      <c r="E23" s="7">
        <f>1/(1+$B$10)^4</f>
        <v/>
      </c>
      <c r="F23" s="7">
        <f>1/(1+$B$10)^5</f>
        <v/>
      </c>
    </row>
    <row r="24">
      <c r="A24" s="12" t="inlineStr">
        <is>
          <t>PV FCF</t>
        </is>
      </c>
      <c r="B24" s="7">
        <f>B23*B24</f>
        <v/>
      </c>
      <c r="C24" s="7">
        <f>C23*C24</f>
        <v/>
      </c>
      <c r="D24" s="7">
        <f>D23*D24</f>
        <v/>
      </c>
      <c r="E24" s="7">
        <f>E23*E24</f>
        <v/>
      </c>
      <c r="F24" s="7">
        <f>F23*F24</f>
        <v/>
      </c>
    </row>
    <row r="26">
      <c r="A26" s="18" t="inlineStr">
        <is>
          <t>Valuation</t>
        </is>
      </c>
    </row>
    <row r="27">
      <c r="A27" s="12" t="inlineStr">
        <is>
          <t>PV FCFs</t>
        </is>
      </c>
      <c r="B27" s="7">
        <f>SUM(B25:F25)</f>
        <v/>
      </c>
    </row>
    <row r="28">
      <c r="A28" s="12" t="inlineStr">
        <is>
          <t>TV</t>
        </is>
      </c>
      <c r="B28" s="7">
        <f>F23*(1+$B$11)/($B$10-$B$11)</f>
        <v/>
      </c>
    </row>
    <row r="29">
      <c r="A29" s="12" t="inlineStr">
        <is>
          <t>PV TV</t>
        </is>
      </c>
      <c r="B29" s="7">
        <f>B28/(1+$B$10)^5</f>
        <v/>
      </c>
    </row>
    <row r="30">
      <c r="A30" s="9" t="inlineStr">
        <is>
          <t>EV ($MM)</t>
        </is>
      </c>
      <c r="B30" s="7">
        <f>B27+B29</f>
        <v/>
      </c>
    </row>
    <row r="31">
      <c r="A31" s="12" t="inlineStr">
        <is>
          <t>Net Debt ($MM)</t>
        </is>
      </c>
      <c r="B31" s="7" t="n">
        <v>-88.40000000000001</v>
      </c>
    </row>
    <row r="32">
      <c r="A32" s="9" t="inlineStr">
        <is>
          <t>Equity Value ($MM)</t>
        </is>
      </c>
      <c r="B32" s="7">
        <f>B30+B31</f>
        <v/>
      </c>
    </row>
  </sheetData>
  <mergeCells count="2">
    <mergeCell ref="A26:C26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2026-04-25T03:48:15Z</dcterms:created>
  <dcterms:modified xmlns:dcterms="http://purl.org/dc/terms/" xmlns:xsi="http://www.w3.org/2001/XMLSchema-instance" xsi:type="dcterms:W3CDTF">2026-04-25T03:48:15Z</dcterms:modified>
</cp:coreProperties>
</file>
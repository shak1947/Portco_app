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cklog &amp; Pipeline" sheetId="2" state="visible" r:id="rId2"/>
    <sheet xmlns:r="http://schemas.openxmlformats.org/officeDocument/2006/relationships"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00000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2E75B6"/>
      <sz val="10"/>
    </font>
    <font>
      <name val="Arial"/>
      <color rgb="00595959"/>
      <sz val="10"/>
    </font>
    <font>
      <name val="Arial"/>
      <color rgb="002E75B6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5F5F5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right"/>
    </xf>
    <xf numFmtId="164" fontId="5" fillId="3" borderId="0" applyAlignment="1" pivotButton="0" quotePrefix="0" xfId="0">
      <alignment horizontal="right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0" fontId="7" fillId="3" borderId="0" applyAlignment="1" pivotButton="0" quotePrefix="0" xfId="0">
      <alignment horizontal="left" vertical="center"/>
    </xf>
    <xf numFmtId="164" fontId="8" fillId="3" borderId="0" applyAlignment="1" pivotButton="0" quotePrefix="0" xfId="0">
      <alignment horizontal="right"/>
    </xf>
    <xf numFmtId="164" fontId="9" fillId="3" borderId="0" applyAlignment="1" pivotButton="0" quotePrefix="0" xfId="0">
      <alignment horizontal="right"/>
    </xf>
    <xf numFmtId="0" fontId="9" fillId="3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5" fontId="9" fillId="3" borderId="0" applyAlignment="1" pivotButton="0" quotePrefix="0" xfId="0">
      <alignment horizontal="right"/>
    </xf>
    <xf numFmtId="0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right"/>
    </xf>
    <xf numFmtId="0" fontId="10" fillId="2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right"/>
    </xf>
    <xf numFmtId="165" fontId="11" fillId="0" borderId="0" applyAlignment="1" pivotButton="0" quotePrefix="0" xfId="0">
      <alignment horizontal="right"/>
    </xf>
    <xf numFmtId="164" fontId="12" fillId="0" borderId="0" applyAlignment="1" pivotButton="0" quotePrefix="0" xfId="0">
      <alignment horizontal="right"/>
    </xf>
    <xf numFmtId="165" fontId="12" fillId="0" borderId="0" applyAlignment="1" pivotButton="0" quotePrefix="0" xfId="0">
      <alignment horizontal="right"/>
    </xf>
    <xf numFmtId="0" fontId="5" fillId="4" borderId="0" applyAlignment="1" pivotButton="0" quotePrefix="0" xfId="0">
      <alignment horizontal="left" vertical="center"/>
    </xf>
    <xf numFmtId="165" fontId="8" fillId="0" borderId="0" applyAlignment="1" pivotButton="0" quotePrefix="0" xfId="0">
      <alignment horizontal="right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BuildRight Construction Holdings</t>
        </is>
      </c>
    </row>
    <row r="2">
      <c r="A2" s="2" t="inlineStr">
        <is>
          <t>Management Reporting Package — FY2024 &amp; YTD Q1 2025</t>
        </is>
      </c>
    </row>
    <row r="3">
      <c r="A3" s="3" t="inlineStr">
        <is>
          <t>All figures in $000s unless noted</t>
        </is>
      </c>
    </row>
    <row r="5">
      <c r="A5" s="4" t="inlineStr">
        <is>
          <t>LINE ITEM</t>
        </is>
      </c>
      <c r="B5" s="4" t="inlineStr">
        <is>
          <t>FY2021</t>
        </is>
      </c>
      <c r="C5" s="4" t="inlineStr">
        <is>
          <t>FY2022</t>
        </is>
      </c>
      <c r="D5" s="4" t="inlineStr">
        <is>
          <t>FY2023</t>
        </is>
      </c>
      <c r="E5" s="4" t="inlineStr">
        <is>
          <t>FY2024</t>
        </is>
      </c>
      <c r="F5" s="4" t="inlineStr">
        <is>
          <t>Budget Q1'25</t>
        </is>
      </c>
      <c r="G5" s="4" t="inlineStr">
        <is>
          <t>Actual Q1'25</t>
        </is>
      </c>
      <c r="H5" s="4" t="inlineStr">
        <is>
          <t>Variance</t>
        </is>
      </c>
    </row>
    <row r="6">
      <c r="A6" s="5" t="inlineStr">
        <is>
          <t>CONTRACT BILLINGS</t>
        </is>
      </c>
      <c r="B6" s="6" t="n">
        <v>88400</v>
      </c>
      <c r="C6" s="6" t="n">
        <v>102300</v>
      </c>
      <c r="D6" s="6" t="n">
        <v>118900</v>
      </c>
      <c r="E6" s="6" t="n">
        <v>134200</v>
      </c>
      <c r="F6" s="6" t="n">
        <v>33500</v>
      </c>
      <c r="G6" s="7" t="n">
        <v>35100</v>
      </c>
      <c r="H6" s="7">
        <f>H7-G7</f>
        <v/>
      </c>
    </row>
    <row r="7">
      <c r="A7" s="8" t="inlineStr">
        <is>
          <t xml:space="preserve">  Residential</t>
        </is>
      </c>
      <c r="B7" s="9" t="n">
        <v>31200</v>
      </c>
      <c r="C7" s="9" t="n">
        <v>36100</v>
      </c>
      <c r="D7" s="9" t="n">
        <v>41800</v>
      </c>
      <c r="E7" s="9" t="n">
        <v>47600</v>
      </c>
      <c r="F7" s="9" t="n">
        <v>11800</v>
      </c>
      <c r="G7" s="10" t="n">
        <v>12400</v>
      </c>
      <c r="H7" s="10">
        <f>H8-G8</f>
        <v/>
      </c>
    </row>
    <row r="8">
      <c r="A8" s="11" t="inlineStr">
        <is>
          <t xml:space="preserve">  Commercial</t>
        </is>
      </c>
      <c r="B8" s="12" t="n">
        <v>38600</v>
      </c>
      <c r="C8" s="12" t="n">
        <v>44900</v>
      </c>
      <c r="D8" s="12" t="n">
        <v>52100</v>
      </c>
      <c r="E8" s="12" t="n">
        <v>58400</v>
      </c>
      <c r="F8" s="12" t="n">
        <v>14600</v>
      </c>
      <c r="G8" s="13" t="n">
        <v>15200</v>
      </c>
      <c r="H8" s="13">
        <f>H9-G9</f>
        <v/>
      </c>
    </row>
    <row r="9">
      <c r="A9" s="8" t="inlineStr">
        <is>
          <t xml:space="preserve">  Government/Infrastructure</t>
        </is>
      </c>
      <c r="B9" s="9" t="n">
        <v>18600</v>
      </c>
      <c r="C9" s="9" t="n">
        <v>21300</v>
      </c>
      <c r="D9" s="9" t="n">
        <v>25000</v>
      </c>
      <c r="E9" s="9" t="n">
        <v>28200</v>
      </c>
      <c r="F9" s="9" t="n">
        <v>7100</v>
      </c>
      <c r="G9" s="10" t="n">
        <v>7500</v>
      </c>
      <c r="H9" s="10">
        <f>H10-G10</f>
        <v/>
      </c>
    </row>
    <row r="10">
      <c r="A10" s="14" t="inlineStr">
        <is>
          <t>Cost of Construction</t>
        </is>
      </c>
      <c r="B10" s="12" t="n">
        <v>71200</v>
      </c>
      <c r="C10" s="12" t="n">
        <v>82100</v>
      </c>
      <c r="D10" s="12" t="n">
        <v>95300</v>
      </c>
      <c r="E10" s="12" t="n">
        <v>106800</v>
      </c>
      <c r="F10" s="12" t="n">
        <v>26700</v>
      </c>
      <c r="G10" s="13" t="n">
        <v>27800</v>
      </c>
      <c r="H10" s="13">
        <f>H11-G11</f>
        <v/>
      </c>
    </row>
    <row r="11">
      <c r="A11" s="5" t="inlineStr">
        <is>
          <t>GROSS PROFIT</t>
        </is>
      </c>
      <c r="B11" s="15" t="n">
        <v>17200</v>
      </c>
      <c r="C11" s="15" t="n">
        <v>20200</v>
      </c>
      <c r="D11" s="15" t="n">
        <v>23600</v>
      </c>
      <c r="E11" s="15" t="n">
        <v>27400</v>
      </c>
      <c r="F11" s="15" t="n">
        <v>6800</v>
      </c>
      <c r="G11" s="16" t="n">
        <v>7300</v>
      </c>
      <c r="H11" s="16">
        <f>H12-G12</f>
        <v/>
      </c>
    </row>
    <row r="12">
      <c r="A12" s="14" t="inlineStr">
        <is>
          <t>Gross Margin %</t>
        </is>
      </c>
      <c r="B12" s="17">
        <f>C12/C7</f>
        <v/>
      </c>
      <c r="C12" s="17">
        <f>D12/D7</f>
        <v/>
      </c>
      <c r="D12" s="17">
        <f>E12/E7</f>
        <v/>
      </c>
      <c r="E12" s="17">
        <f>F12/F7</f>
        <v/>
      </c>
      <c r="F12" s="17">
        <f>G12/G7</f>
        <v/>
      </c>
      <c r="G12" s="17">
        <f>H12/H7</f>
        <v/>
      </c>
      <c r="H12" s="17" t="inlineStr"/>
    </row>
    <row r="13">
      <c r="A13" s="18" t="inlineStr">
        <is>
          <t>SG&amp;A</t>
        </is>
      </c>
      <c r="B13" s="9" t="n">
        <v>7800</v>
      </c>
      <c r="C13" s="9" t="n">
        <v>8900</v>
      </c>
      <c r="D13" s="9" t="n">
        <v>10100</v>
      </c>
      <c r="E13" s="9" t="n">
        <v>11200</v>
      </c>
      <c r="F13" s="9" t="n">
        <v>2800</v>
      </c>
      <c r="G13" s="10" t="n">
        <v>2900</v>
      </c>
      <c r="H13" s="10">
        <f>H14-G14</f>
        <v/>
      </c>
    </row>
    <row r="14">
      <c r="A14" s="5" t="inlineStr">
        <is>
          <t>EBITDA</t>
        </is>
      </c>
      <c r="B14" s="6" t="n">
        <v>9400</v>
      </c>
      <c r="C14" s="6" t="n">
        <v>11300</v>
      </c>
      <c r="D14" s="6" t="n">
        <v>13500</v>
      </c>
      <c r="E14" s="6" t="n">
        <v>16200</v>
      </c>
      <c r="F14" s="6" t="n">
        <v>4000</v>
      </c>
      <c r="G14" s="7" t="n">
        <v>4400</v>
      </c>
      <c r="H14" s="7">
        <f>H15-G15</f>
        <v/>
      </c>
    </row>
    <row r="15">
      <c r="A15" s="18" t="inlineStr">
        <is>
          <t>EBITDA Margin %</t>
        </is>
      </c>
      <c r="B15" s="19">
        <f>C15/C7</f>
        <v/>
      </c>
      <c r="C15" s="19">
        <f>D15/D7</f>
        <v/>
      </c>
      <c r="D15" s="19">
        <f>E15/E7</f>
        <v/>
      </c>
      <c r="E15" s="19">
        <f>F15/F7</f>
        <v/>
      </c>
      <c r="F15" s="19">
        <f>G15/G7</f>
        <v/>
      </c>
      <c r="G15" s="19">
        <f>H15/H7</f>
        <v/>
      </c>
      <c r="H15" s="19" t="inlineStr"/>
    </row>
    <row r="16">
      <c r="A16" s="14" t="inlineStr">
        <is>
          <t>Depreciation</t>
        </is>
      </c>
      <c r="B16" s="12" t="n">
        <v>1200</v>
      </c>
      <c r="C16" s="12" t="n">
        <v>1400</v>
      </c>
      <c r="D16" s="12" t="n">
        <v>1600</v>
      </c>
      <c r="E16" s="12" t="n">
        <v>1900</v>
      </c>
      <c r="F16" s="12" t="n">
        <v>475</v>
      </c>
      <c r="G16" s="13" t="n">
        <v>480</v>
      </c>
      <c r="H16" s="13" t="inlineStr"/>
    </row>
    <row r="17">
      <c r="A17" s="18" t="inlineStr">
        <is>
          <t>Amortization</t>
        </is>
      </c>
      <c r="B17" s="9" t="n">
        <v>300</v>
      </c>
      <c r="C17" s="9" t="n">
        <v>300</v>
      </c>
      <c r="D17" s="9" t="n">
        <v>300</v>
      </c>
      <c r="E17" s="9" t="n">
        <v>300</v>
      </c>
      <c r="F17" s="9" t="n">
        <v>75</v>
      </c>
      <c r="G17" s="10" t="n">
        <v>75</v>
      </c>
      <c r="H17" s="10" t="inlineStr"/>
    </row>
    <row r="18">
      <c r="A18" s="14" t="inlineStr">
        <is>
          <t>EBIT</t>
        </is>
      </c>
      <c r="B18" s="12" t="n">
        <v>7900</v>
      </c>
      <c r="C18" s="12" t="n">
        <v>9600</v>
      </c>
      <c r="D18" s="12" t="n">
        <v>11600</v>
      </c>
      <c r="E18" s="12" t="n">
        <v>14000</v>
      </c>
      <c r="F18" s="12" t="n">
        <v>3450</v>
      </c>
      <c r="G18" s="13" t="n">
        <v>3845</v>
      </c>
      <c r="H18" s="13">
        <f>H18-G18</f>
        <v/>
      </c>
    </row>
    <row r="19">
      <c r="A19" s="18" t="inlineStr">
        <is>
          <t>Interest Expense</t>
        </is>
      </c>
      <c r="B19" s="9" t="n">
        <v>1100</v>
      </c>
      <c r="C19" s="9" t="n">
        <v>1200</v>
      </c>
      <c r="D19" s="9" t="n">
        <v>1300</v>
      </c>
      <c r="E19" s="9" t="n">
        <v>1400</v>
      </c>
      <c r="F19" s="9" t="n">
        <v>360</v>
      </c>
      <c r="G19" s="10" t="n">
        <v>355</v>
      </c>
      <c r="H19" s="10" t="inlineStr"/>
    </row>
    <row r="20">
      <c r="A20" s="14" t="inlineStr">
        <is>
          <t>EBT</t>
        </is>
      </c>
      <c r="B20" s="12" t="n">
        <v>6800</v>
      </c>
      <c r="C20" s="12" t="n">
        <v>8400</v>
      </c>
      <c r="D20" s="12" t="n">
        <v>10300</v>
      </c>
      <c r="E20" s="12" t="n">
        <v>12600</v>
      </c>
      <c r="F20" s="12" t="n">
        <v>3090</v>
      </c>
      <c r="G20" s="13" t="n">
        <v>3490</v>
      </c>
      <c r="H20" s="13">
        <f>H20-G20</f>
        <v/>
      </c>
    </row>
    <row r="21">
      <c r="A21" s="18" t="inlineStr">
        <is>
          <t>Taxes (28%)</t>
        </is>
      </c>
      <c r="B21" s="9" t="n">
        <v>1904</v>
      </c>
      <c r="C21" s="9" t="n">
        <v>2352</v>
      </c>
      <c r="D21" s="9" t="n">
        <v>2884</v>
      </c>
      <c r="E21" s="9" t="n">
        <v>3528</v>
      </c>
      <c r="F21" s="9" t="n">
        <v>865</v>
      </c>
      <c r="G21" s="10" t="n">
        <v>977</v>
      </c>
      <c r="H21" s="10" t="inlineStr"/>
    </row>
    <row r="22">
      <c r="A22" s="5" t="inlineStr">
        <is>
          <t>NET INCOME</t>
        </is>
      </c>
      <c r="B22" s="6" t="n">
        <v>4896</v>
      </c>
      <c r="C22" s="6" t="n">
        <v>6048</v>
      </c>
      <c r="D22" s="6" t="n">
        <v>7416</v>
      </c>
      <c r="E22" s="6" t="n">
        <v>9072</v>
      </c>
      <c r="F22" s="6" t="n">
        <v>2225</v>
      </c>
      <c r="G22" s="7" t="n">
        <v>2513</v>
      </c>
      <c r="H22" s="7">
        <f>H22-G22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BuildRight — Backlog &amp; Pipeline Report</t>
        </is>
      </c>
    </row>
    <row r="3">
      <c r="A3" s="4" t="inlineStr">
        <is>
          <t>Project Category</t>
        </is>
      </c>
      <c r="B3" s="4" t="inlineStr">
        <is>
          <t>Backlog ($000s)</t>
        </is>
      </c>
      <c r="C3" s="4" t="inlineStr">
        <is>
          <t>Awarded Not Started</t>
        </is>
      </c>
      <c r="D3" s="4" t="inlineStr">
        <is>
          <t>Pipeline</t>
        </is>
      </c>
      <c r="E3" s="4" t="inlineStr">
        <is>
          <t>Win Rate %</t>
        </is>
      </c>
    </row>
    <row r="4">
      <c r="A4" s="18" t="inlineStr">
        <is>
          <t>Residential</t>
        </is>
      </c>
      <c r="B4" s="21" t="n">
        <v>18400</v>
      </c>
      <c r="C4" s="21" t="n">
        <v>6200</v>
      </c>
      <c r="D4" s="21" t="n">
        <v>28000</v>
      </c>
      <c r="E4" s="22" t="n">
        <v>0.42</v>
      </c>
    </row>
    <row r="5">
      <c r="A5" s="18" t="inlineStr">
        <is>
          <t>Commercial</t>
        </is>
      </c>
      <c r="B5" s="21" t="n">
        <v>24100</v>
      </c>
      <c r="C5" s="21" t="n">
        <v>8900</v>
      </c>
      <c r="D5" s="21" t="n">
        <v>51000</v>
      </c>
      <c r="E5" s="22" t="n">
        <v>0.38</v>
      </c>
    </row>
    <row r="6">
      <c r="A6" s="18" t="inlineStr">
        <is>
          <t>Government/Infrastructure</t>
        </is>
      </c>
      <c r="B6" s="21" t="n">
        <v>11200</v>
      </c>
      <c r="C6" s="21" t="n">
        <v>3100</v>
      </c>
      <c r="D6" s="21" t="n">
        <v>32000</v>
      </c>
      <c r="E6" s="22" t="n">
        <v>0.31</v>
      </c>
    </row>
    <row r="7">
      <c r="A7" s="5" t="inlineStr">
        <is>
          <t>TOTAL</t>
        </is>
      </c>
      <c r="B7" s="23">
        <f>SUM(B4:B6)</f>
        <v/>
      </c>
      <c r="C7" s="23">
        <f>SUM(C4:C6)</f>
        <v/>
      </c>
      <c r="D7" s="23">
        <f>SUM(D4:D6)</f>
        <v/>
      </c>
      <c r="E7" s="24">
        <f>SUMPRODUCT(B4:B6,E4:E6)/SUM(B4:B6)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0" t="inlineStr">
        <is>
          <t>BuildRight — Indicative Valuation (DCF)</t>
        </is>
      </c>
    </row>
    <row r="3">
      <c r="A3" s="25" t="inlineStr">
        <is>
          <t>Assumptions</t>
        </is>
      </c>
    </row>
    <row r="4">
      <c r="A4" s="18" t="inlineStr">
        <is>
          <t>Billings Growth (Yr 1-3)</t>
        </is>
      </c>
      <c r="B4" s="26" t="n">
        <v>0.1</v>
      </c>
    </row>
    <row r="5">
      <c r="A5" s="18" t="inlineStr">
        <is>
          <t>Billings Growth (Yr 4-5)</t>
        </is>
      </c>
      <c r="B5" s="26" t="n">
        <v>0.07000000000000001</v>
      </c>
    </row>
    <row r="6">
      <c r="A6" s="18" t="inlineStr">
        <is>
          <t>EBITDA Margin</t>
        </is>
      </c>
      <c r="B6" s="26" t="n">
        <v>0.122</v>
      </c>
    </row>
    <row r="7">
      <c r="A7" s="18" t="inlineStr">
        <is>
          <t>D&amp;A % Billings</t>
        </is>
      </c>
      <c r="B7" s="26" t="n">
        <v>0.016</v>
      </c>
    </row>
    <row r="8">
      <c r="A8" s="18" t="inlineStr">
        <is>
          <t>Capex % Billings</t>
        </is>
      </c>
      <c r="B8" s="26" t="n">
        <v>0.022</v>
      </c>
    </row>
    <row r="9">
      <c r="A9" s="18" t="inlineStr">
        <is>
          <t>Tax Rate</t>
        </is>
      </c>
      <c r="B9" s="26" t="n">
        <v>0.28</v>
      </c>
    </row>
    <row r="10">
      <c r="A10" s="18" t="inlineStr">
        <is>
          <t>WACC</t>
        </is>
      </c>
      <c r="B10" s="26" t="n">
        <v>0.125</v>
      </c>
    </row>
    <row r="11">
      <c r="A11" s="18" t="inlineStr">
        <is>
          <t>Terminal Growth</t>
        </is>
      </c>
      <c r="B11" s="26" t="n">
        <v>0.02</v>
      </c>
    </row>
    <row r="14">
      <c r="A14" s="27" t="inlineStr"/>
      <c r="B14" s="27" t="inlineStr">
        <is>
          <t>2025E</t>
        </is>
      </c>
      <c r="C14" s="27" t="inlineStr">
        <is>
          <t>2026E</t>
        </is>
      </c>
      <c r="D14" s="27" t="inlineStr">
        <is>
          <t>2027E</t>
        </is>
      </c>
      <c r="E14" s="27" t="inlineStr">
        <is>
          <t>2028E</t>
        </is>
      </c>
      <c r="F14" s="27" t="inlineStr">
        <is>
          <t>2029E</t>
        </is>
      </c>
    </row>
    <row r="15">
      <c r="A15" s="18" t="inlineStr">
        <is>
          <t>Billings ($000s)</t>
        </is>
      </c>
      <c r="B15" s="21">
        <f>134200*(1+$B$4)</f>
        <v/>
      </c>
      <c r="C15" s="21">
        <f>B15*(1+$B$4)</f>
        <v/>
      </c>
      <c r="D15" s="21">
        <f>C15*(1+$B$4)</f>
        <v/>
      </c>
      <c r="E15" s="21">
        <f>D15*(1+$B$5)</f>
        <v/>
      </c>
      <c r="F15" s="21">
        <f>E15*(1+$B$5)</f>
        <v/>
      </c>
    </row>
    <row r="16">
      <c r="A16" s="5" t="inlineStr">
        <is>
          <t>EBITDA</t>
        </is>
      </c>
      <c r="B16" s="21">
        <f>B15*$B$6</f>
        <v/>
      </c>
      <c r="C16" s="21">
        <f>C15*$B$6</f>
        <v/>
      </c>
      <c r="D16" s="21">
        <f>D15*$B$6</f>
        <v/>
      </c>
      <c r="E16" s="21">
        <f>E15*$B$6</f>
        <v/>
      </c>
      <c r="F16" s="21">
        <f>F15*$B$6</f>
        <v/>
      </c>
    </row>
    <row r="17">
      <c r="A17" s="18" t="inlineStr">
        <is>
          <t>Less: D&amp;A</t>
        </is>
      </c>
      <c r="B17" s="21">
        <f>-B15*$B$7</f>
        <v/>
      </c>
      <c r="C17" s="21">
        <f>-C15*$B$7</f>
        <v/>
      </c>
      <c r="D17" s="21">
        <f>-D15*$B$7</f>
        <v/>
      </c>
      <c r="E17" s="21">
        <f>-E15*$B$7</f>
        <v/>
      </c>
      <c r="F17" s="21">
        <f>-F15*$B$7</f>
        <v/>
      </c>
    </row>
    <row r="18">
      <c r="A18" s="18" t="inlineStr">
        <is>
          <t>EBIT</t>
        </is>
      </c>
      <c r="B18" s="21">
        <f>B16+B17</f>
        <v/>
      </c>
      <c r="C18" s="21">
        <f>C16+C17</f>
        <v/>
      </c>
      <c r="D18" s="21">
        <f>D16+D17</f>
        <v/>
      </c>
      <c r="E18" s="21">
        <f>E16+E17</f>
        <v/>
      </c>
      <c r="F18" s="21">
        <f>F16+F17</f>
        <v/>
      </c>
    </row>
    <row r="19">
      <c r="A19" s="18" t="inlineStr">
        <is>
          <t>Tax</t>
        </is>
      </c>
      <c r="B19" s="21">
        <f>-B18*$B$9</f>
        <v/>
      </c>
      <c r="C19" s="21">
        <f>-C18*$B$9</f>
        <v/>
      </c>
      <c r="D19" s="21">
        <f>-D18*$B$9</f>
        <v/>
      </c>
      <c r="E19" s="21">
        <f>-E18*$B$9</f>
        <v/>
      </c>
      <c r="F19" s="21">
        <f>-F18*$B$9</f>
        <v/>
      </c>
    </row>
    <row r="20">
      <c r="A20" s="18" t="inlineStr">
        <is>
          <t>Add: D&amp;A</t>
        </is>
      </c>
      <c r="B20" s="21">
        <f>-B17</f>
        <v/>
      </c>
      <c r="C20" s="21">
        <f>-C17</f>
        <v/>
      </c>
      <c r="D20" s="21">
        <f>-D17</f>
        <v/>
      </c>
      <c r="E20" s="21">
        <f>-E17</f>
        <v/>
      </c>
      <c r="F20" s="21">
        <f>-F17</f>
        <v/>
      </c>
    </row>
    <row r="21">
      <c r="A21" s="18" t="inlineStr">
        <is>
          <t>Capex</t>
        </is>
      </c>
      <c r="B21" s="21">
        <f>-B15*$B$8</f>
        <v/>
      </c>
      <c r="C21" s="21">
        <f>-C15*$B$8</f>
        <v/>
      </c>
      <c r="D21" s="21">
        <f>-D15*$B$8</f>
        <v/>
      </c>
      <c r="E21" s="21">
        <f>-E15*$B$8</f>
        <v/>
      </c>
      <c r="F21" s="21">
        <f>-F15*$B$8</f>
        <v/>
      </c>
    </row>
    <row r="22">
      <c r="A22" s="5" t="inlineStr">
        <is>
          <t>FCF</t>
        </is>
      </c>
      <c r="B22" s="21">
        <f>SUM(B16:B21)</f>
        <v/>
      </c>
      <c r="C22" s="21">
        <f>SUM(C16:C21)</f>
        <v/>
      </c>
      <c r="D22" s="21">
        <f>SUM(D16:D21)</f>
        <v/>
      </c>
      <c r="E22" s="21">
        <f>SUM(E16:E21)</f>
        <v/>
      </c>
      <c r="F22" s="21">
        <f>SUM(F16:F21)</f>
        <v/>
      </c>
    </row>
    <row r="23">
      <c r="A23" s="18" t="inlineStr">
        <is>
          <t>Discount Factor</t>
        </is>
      </c>
      <c r="B23" s="21">
        <f>1/(1+$B$10)^1</f>
        <v/>
      </c>
      <c r="C23" s="21">
        <f>1/(1+$B$10)^2</f>
        <v/>
      </c>
      <c r="D23" s="21">
        <f>1/(1+$B$10)^3</f>
        <v/>
      </c>
      <c r="E23" s="21">
        <f>1/(1+$B$10)^4</f>
        <v/>
      </c>
      <c r="F23" s="21">
        <f>1/(1+$B$10)^5</f>
        <v/>
      </c>
    </row>
    <row r="24">
      <c r="A24" s="18" t="inlineStr">
        <is>
          <t>PV of FCF</t>
        </is>
      </c>
      <c r="B24" s="21">
        <f>B22*B23</f>
        <v/>
      </c>
      <c r="C24" s="21">
        <f>C22*C23</f>
        <v/>
      </c>
      <c r="D24" s="21">
        <f>D22*D23</f>
        <v/>
      </c>
      <c r="E24" s="21">
        <f>E22*E23</f>
        <v/>
      </c>
      <c r="F24" s="21">
        <f>F22*F23</f>
        <v/>
      </c>
    </row>
    <row r="26">
      <c r="A26" s="28" t="inlineStr">
        <is>
          <t>EV Summary</t>
        </is>
      </c>
    </row>
    <row r="27">
      <c r="A27" s="18" t="inlineStr">
        <is>
          <t>PV FCFs</t>
        </is>
      </c>
      <c r="B27" s="21">
        <f>SUM(B24:F24)</f>
        <v/>
      </c>
    </row>
    <row r="28">
      <c r="A28" s="18" t="inlineStr">
        <is>
          <t>Terminal Value</t>
        </is>
      </c>
      <c r="B28" s="21">
        <f>F22*(1+$B$11)/($B$10-$B$11)</f>
        <v/>
      </c>
    </row>
    <row r="29">
      <c r="A29" s="18" t="inlineStr">
        <is>
          <t>PV Terminal Value</t>
        </is>
      </c>
      <c r="B29" s="21">
        <f>B28/(1+$B$10)^5</f>
        <v/>
      </c>
    </row>
    <row r="30">
      <c r="A30" s="5" t="inlineStr">
        <is>
          <t>Enterprise Value</t>
        </is>
      </c>
      <c r="B30" s="23">
        <f>B27+B29</f>
        <v/>
      </c>
    </row>
    <row r="31">
      <c r="A31" s="18" t="inlineStr">
        <is>
          <t>Net Debt</t>
        </is>
      </c>
      <c r="B31" s="21" t="n">
        <v>-11400</v>
      </c>
    </row>
    <row r="32">
      <c r="A32" s="5" t="inlineStr">
        <is>
          <t>Equity Value</t>
        </is>
      </c>
      <c r="B32" s="23">
        <f>B30+B31</f>
        <v/>
      </c>
    </row>
  </sheetData>
  <mergeCells count="3">
    <mergeCell ref="A26:C26"/>
    <mergeCell ref="A3:B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2026-04-25T03:48:15Z</dcterms:created>
  <dcterms:modified xmlns:dcterms="http://purl.org/dc/terms/" xmlns:xsi="http://www.w3.org/2001/XMLSchema-instance" xsi:type="dcterms:W3CDTF">2026-04-25T03:48:15Z</dcterms:modified>
</cp:coreProperties>
</file>
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P&amp;L" sheetId="1" state="visible" r:id="rId1"/>
    <sheet xmlns:r="http://schemas.openxmlformats.org/officeDocument/2006/relationships" name="Fleet &amp; Ops KPIs" sheetId="2" state="visible" r:id="rId2"/>
    <sheet xmlns:r="http://schemas.openxmlformats.org/officeDocument/2006/relationships"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+#,##0;(#,##0);&quot;-&quot;"/>
    <numFmt numFmtId="166" formatCode="0.0%"/>
    <numFmt numFmtId="167" formatCode="#,##0.0;(#,##0.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  <font>
      <name val="Arial"/>
      <color rgb="00595959"/>
      <sz val="10"/>
    </font>
    <font>
      <name val="Arial"/>
      <b val="1"/>
      <color rgb="00FFFFFF"/>
      <sz val="12"/>
    </font>
    <font>
      <name val="Arial"/>
      <color rgb="002E75B6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8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167" fontId="6" fillId="4" borderId="0" applyAlignment="1" pivotButton="0" quotePrefix="0" xfId="0">
      <alignment horizontal="right"/>
    </xf>
    <xf numFmtId="166" fontId="6" fillId="4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6" fontId="10" fillId="0" borderId="0" applyAlignment="1" pivotButton="0" quotePrefix="0" xfId="0">
      <alignment horizontal="right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FastTrack Logistics &amp; Transport LLC</t>
        </is>
      </c>
    </row>
    <row r="2">
      <c r="A2" s="2" t="inlineStr">
        <is>
          <t>Segment Performance Summary | FY2024A &amp; Q1 2025A | $000s</t>
        </is>
      </c>
    </row>
    <row r="4">
      <c r="A4" s="3" t="inlineStr">
        <is>
          <t>Segment / Line Item</t>
        </is>
      </c>
      <c r="B4" s="3" t="inlineStr">
        <is>
          <t>FY2022A</t>
        </is>
      </c>
      <c r="C4" s="3" t="inlineStr">
        <is>
          <t>FY2023A</t>
        </is>
      </c>
      <c r="D4" s="3" t="inlineStr">
        <is>
          <t>FY2024A</t>
        </is>
      </c>
      <c r="E4" s="3" t="inlineStr">
        <is>
          <t>Q1'24A</t>
        </is>
      </c>
      <c r="F4" s="3" t="inlineStr">
        <is>
          <t>Q1'25A</t>
        </is>
      </c>
      <c r="G4" s="3" t="inlineStr">
        <is>
          <t>YoY $</t>
        </is>
      </c>
      <c r="H4" s="3" t="inlineStr">
        <is>
          <t>YoY %</t>
        </is>
      </c>
    </row>
    <row r="5">
      <c r="A5" s="4" t="inlineStr">
        <is>
          <t>TRUCKING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 xml:space="preserve">  Revenue</t>
        </is>
      </c>
      <c r="B6" s="7" t="n">
        <v>42100</v>
      </c>
      <c r="C6" s="7" t="n">
        <v>47800</v>
      </c>
      <c r="D6" s="7" t="n">
        <v>54200</v>
      </c>
      <c r="E6" s="7" t="n">
        <v>13100</v>
      </c>
      <c r="F6" s="7" t="n">
        <v>14200</v>
      </c>
      <c r="G6" s="8">
        <f>F6-E6</f>
        <v/>
      </c>
      <c r="H6" s="9">
        <f>(F6-E6)/E6</f>
        <v/>
      </c>
    </row>
    <row r="7">
      <c r="A7" s="6" t="inlineStr">
        <is>
          <t xml:space="preserve">  Operating Costs</t>
        </is>
      </c>
      <c r="B7" s="7" t="n">
        <v>33200</v>
      </c>
      <c r="C7" s="7" t="n">
        <v>37400</v>
      </c>
      <c r="D7" s="7" t="n">
        <v>42100</v>
      </c>
      <c r="E7" s="7" t="n">
        <v>10200</v>
      </c>
      <c r="F7" s="7" t="n">
        <v>10900</v>
      </c>
      <c r="G7" s="8">
        <f>F7-E7</f>
        <v/>
      </c>
      <c r="H7" s="9">
        <f>(F7-E7)/E7</f>
        <v/>
      </c>
    </row>
    <row r="8">
      <c r="A8" s="10" t="inlineStr">
        <is>
          <t xml:space="preserve">  Segment EBITDA</t>
        </is>
      </c>
      <c r="B8" s="11" t="n">
        <v>8900</v>
      </c>
      <c r="C8" s="11" t="n">
        <v>10400</v>
      </c>
      <c r="D8" s="11" t="n">
        <v>12100</v>
      </c>
      <c r="E8" s="11" t="n">
        <v>2900</v>
      </c>
      <c r="F8" s="11" t="n">
        <v>3300</v>
      </c>
      <c r="G8" s="8">
        <f>F8-E8</f>
        <v/>
      </c>
      <c r="H8" s="9">
        <f>(F8-E8)/E8</f>
        <v/>
      </c>
    </row>
    <row r="10">
      <c r="A10" s="4" t="inlineStr">
        <is>
          <t>WAREHOUSING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6" t="inlineStr">
        <is>
          <t xml:space="preserve">  Revenue</t>
        </is>
      </c>
      <c r="B11" s="7" t="n">
        <v>18400</v>
      </c>
      <c r="C11" s="7" t="n">
        <v>21200</v>
      </c>
      <c r="D11" s="7" t="n">
        <v>24800</v>
      </c>
      <c r="E11" s="7" t="n">
        <v>6100</v>
      </c>
      <c r="F11" s="7" t="n">
        <v>6800</v>
      </c>
      <c r="G11" s="8">
        <f>F11-E11</f>
        <v/>
      </c>
      <c r="H11" s="9">
        <f>(F11-E11)/E11</f>
        <v/>
      </c>
    </row>
    <row r="12">
      <c r="A12" s="6" t="inlineStr">
        <is>
          <t xml:space="preserve">  Operating Costs</t>
        </is>
      </c>
      <c r="B12" s="7" t="n">
        <v>12100</v>
      </c>
      <c r="C12" s="7" t="n">
        <v>13800</v>
      </c>
      <c r="D12" s="7" t="n">
        <v>16000</v>
      </c>
      <c r="E12" s="7" t="n">
        <v>3900</v>
      </c>
      <c r="F12" s="7" t="n">
        <v>4300</v>
      </c>
      <c r="G12" s="8">
        <f>F12-E12</f>
        <v/>
      </c>
      <c r="H12" s="9">
        <f>(F12-E12)/E12</f>
        <v/>
      </c>
    </row>
    <row r="13">
      <c r="A13" s="10" t="inlineStr">
        <is>
          <t xml:space="preserve">  Segment EBITDA</t>
        </is>
      </c>
      <c r="B13" s="11" t="n">
        <v>6300</v>
      </c>
      <c r="C13" s="11" t="n">
        <v>7400</v>
      </c>
      <c r="D13" s="11" t="n">
        <v>8800</v>
      </c>
      <c r="E13" s="11" t="n">
        <v>2200</v>
      </c>
      <c r="F13" s="11" t="n">
        <v>2500</v>
      </c>
      <c r="G13" s="8">
        <f>F13-E13</f>
        <v/>
      </c>
      <c r="H13" s="9">
        <f>(F13-E13)/E13</f>
        <v/>
      </c>
    </row>
    <row r="15">
      <c r="A15" s="4" t="inlineStr">
        <is>
          <t>LAST-MILE DELIVERY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6" t="inlineStr">
        <is>
          <t xml:space="preserve">  Revenue</t>
        </is>
      </c>
      <c r="B16" s="7" t="n">
        <v>9200</v>
      </c>
      <c r="C16" s="7" t="n">
        <v>12400</v>
      </c>
      <c r="D16" s="7" t="n">
        <v>16800</v>
      </c>
      <c r="E16" s="7" t="n">
        <v>4100</v>
      </c>
      <c r="F16" s="7" t="n">
        <v>5200</v>
      </c>
      <c r="G16" s="8">
        <f>F16-E16</f>
        <v/>
      </c>
      <c r="H16" s="9">
        <f>(F16-E16)/E16</f>
        <v/>
      </c>
    </row>
    <row r="17">
      <c r="A17" s="6" t="inlineStr">
        <is>
          <t xml:space="preserve">  Operating Costs</t>
        </is>
      </c>
      <c r="B17" s="7" t="n">
        <v>7400</v>
      </c>
      <c r="C17" s="7" t="n">
        <v>9800</v>
      </c>
      <c r="D17" s="7" t="n">
        <v>13100</v>
      </c>
      <c r="E17" s="7" t="n">
        <v>3200</v>
      </c>
      <c r="F17" s="7" t="n">
        <v>4000</v>
      </c>
      <c r="G17" s="8">
        <f>F17-E17</f>
        <v/>
      </c>
      <c r="H17" s="9">
        <f>(F17-E17)/E17</f>
        <v/>
      </c>
    </row>
    <row r="18">
      <c r="A18" s="10" t="inlineStr">
        <is>
          <t xml:space="preserve">  Segment EBITDA</t>
        </is>
      </c>
      <c r="B18" s="11" t="n">
        <v>1800</v>
      </c>
      <c r="C18" s="11" t="n">
        <v>2600</v>
      </c>
      <c r="D18" s="11" t="n">
        <v>3700</v>
      </c>
      <c r="E18" s="11" t="n">
        <v>900</v>
      </c>
      <c r="F18" s="11" t="n">
        <v>1200</v>
      </c>
      <c r="G18" s="8">
        <f>F18-E18</f>
        <v/>
      </c>
      <c r="H18" s="9">
        <f>(F18-E18)/E18</f>
        <v/>
      </c>
    </row>
    <row r="20">
      <c r="A20" s="12" t="inlineStr">
        <is>
          <t>CONSOLIDATED</t>
        </is>
      </c>
      <c r="B20" s="13" t="n"/>
      <c r="C20" s="13" t="n"/>
      <c r="D20" s="13" t="n"/>
      <c r="E20" s="13" t="n"/>
      <c r="F20" s="13" t="n"/>
      <c r="G20" s="13" t="n"/>
      <c r="H20" s="13" t="n"/>
    </row>
    <row r="21">
      <c r="A21" s="10" t="inlineStr">
        <is>
          <t>Total Revenue</t>
        </is>
      </c>
      <c r="B21" s="11" t="n">
        <v>69700</v>
      </c>
      <c r="C21" s="11" t="n">
        <v>81400</v>
      </c>
      <c r="D21" s="11" t="n">
        <v>95800</v>
      </c>
      <c r="E21" s="11" t="n">
        <v>23300</v>
      </c>
      <c r="F21" s="11" t="n">
        <v>26200</v>
      </c>
    </row>
    <row r="22">
      <c r="A22" s="6" t="inlineStr">
        <is>
          <t>Total Operating Costs</t>
        </is>
      </c>
      <c r="B22" s="7" t="n">
        <v>52700</v>
      </c>
      <c r="C22" s="7" t="n">
        <v>61000</v>
      </c>
      <c r="D22" s="7" t="n">
        <v>71200</v>
      </c>
      <c r="E22" s="7" t="n">
        <v>17300</v>
      </c>
      <c r="F22" s="7" t="n">
        <v>19200</v>
      </c>
    </row>
    <row r="23">
      <c r="A23" s="6" t="inlineStr">
        <is>
          <t>Total Segment EBITDA</t>
        </is>
      </c>
      <c r="B23" s="7" t="n">
        <v>17000</v>
      </c>
      <c r="C23" s="7" t="n">
        <v>20400</v>
      </c>
      <c r="D23" s="7" t="n">
        <v>24600</v>
      </c>
      <c r="E23" s="7" t="n">
        <v>6000</v>
      </c>
      <c r="F23" s="7" t="n">
        <v>7000</v>
      </c>
    </row>
    <row r="24">
      <c r="A24" s="14" t="inlineStr">
        <is>
          <t>Corporate G&amp;A</t>
        </is>
      </c>
      <c r="B24" s="7" t="n">
        <v>-3200</v>
      </c>
      <c r="C24" s="7" t="n">
        <v>-3600</v>
      </c>
      <c r="D24" s="7" t="n">
        <v>-4100</v>
      </c>
      <c r="E24" s="7" t="n">
        <v>-1000</v>
      </c>
      <c r="F24" s="7" t="n">
        <v>-1100</v>
      </c>
    </row>
    <row r="25">
      <c r="A25" s="10" t="inlineStr">
        <is>
          <t>EBITDA</t>
        </is>
      </c>
      <c r="B25" s="11" t="n">
        <v>13800</v>
      </c>
      <c r="C25" s="11" t="n">
        <v>16800</v>
      </c>
      <c r="D25" s="11" t="n">
        <v>20500</v>
      </c>
      <c r="E25" s="11" t="n">
        <v>5000</v>
      </c>
      <c r="F25" s="11" t="n">
        <v>5900</v>
      </c>
    </row>
    <row r="26">
      <c r="A26" s="6" t="inlineStr">
        <is>
          <t>EBITDA Margin %</t>
        </is>
      </c>
      <c r="B26" s="15">
        <f>C18/C16</f>
        <v/>
      </c>
      <c r="C26" s="15">
        <f>D18/D16</f>
        <v/>
      </c>
      <c r="D26" s="15">
        <f>E18/E16</f>
        <v/>
      </c>
      <c r="E26" s="15">
        <f>F18/F16</f>
        <v/>
      </c>
      <c r="F26" s="15">
        <f>G18/G16</f>
        <v/>
      </c>
    </row>
    <row r="27">
      <c r="A27" s="6" t="inlineStr">
        <is>
          <t>D&amp;A</t>
        </is>
      </c>
      <c r="B27" s="7" t="n">
        <v>3100</v>
      </c>
      <c r="C27" s="7" t="n">
        <v>3600</v>
      </c>
      <c r="D27" s="7" t="n">
        <v>4200</v>
      </c>
      <c r="E27" s="7" t="n">
        <v>1050</v>
      </c>
      <c r="F27" s="7" t="n">
        <v>1150</v>
      </c>
    </row>
    <row r="28">
      <c r="A28" s="10" t="inlineStr">
        <is>
          <t>Operating Income</t>
        </is>
      </c>
      <c r="B28" s="11" t="n">
        <v>10700</v>
      </c>
      <c r="C28" s="11" t="n">
        <v>13200</v>
      </c>
      <c r="D28" s="11" t="n">
        <v>16300</v>
      </c>
      <c r="E28" s="11" t="n">
        <v>3950</v>
      </c>
      <c r="F28" s="11" t="n">
        <v>4750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</cols>
  <sheetData>
    <row r="1">
      <c r="A1" s="16" t="inlineStr">
        <is>
          <t>FastTrack — Fleet &amp; Operations Metrics</t>
        </is>
      </c>
    </row>
    <row r="3">
      <c r="A3" s="3" t="inlineStr">
        <is>
          <t>KPI</t>
        </is>
      </c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Q1'24</t>
        </is>
      </c>
      <c r="F3" s="3" t="inlineStr">
        <is>
          <t>Q1'25</t>
        </is>
      </c>
      <c r="G3" s="3" t="inlineStr">
        <is>
          <t>YoY</t>
        </is>
      </c>
    </row>
    <row r="4">
      <c r="A4" s="17" t="inlineStr">
        <is>
          <t>Truck Fleet Size (owned)</t>
        </is>
      </c>
      <c r="B4" s="18" t="n">
        <v>284</v>
      </c>
      <c r="C4" s="18" t="n">
        <v>312</v>
      </c>
      <c r="D4" s="18" t="n">
        <v>341</v>
      </c>
      <c r="E4" s="18" t="n">
        <v>328</v>
      </c>
      <c r="F4" s="18" t="n">
        <v>354</v>
      </c>
      <c r="G4" s="19">
        <f>G4-F4</f>
        <v/>
      </c>
    </row>
    <row r="5">
      <c r="A5" s="6" t="inlineStr">
        <is>
          <t>Fleet Utilization %</t>
        </is>
      </c>
      <c r="B5" s="15" t="n">
        <v>0.8120000000000001</v>
      </c>
      <c r="C5" s="15" t="n">
        <v>0.831</v>
      </c>
      <c r="D5" s="15" t="n">
        <v>0.849</v>
      </c>
      <c r="E5" s="15" t="n">
        <v>0.841</v>
      </c>
      <c r="F5" s="15" t="n">
        <v>0.862</v>
      </c>
      <c r="G5" s="15" t="inlineStr"/>
    </row>
    <row r="6">
      <c r="A6" s="17" t="inlineStr">
        <is>
          <t>Revenue per Truck ($000s)</t>
        </is>
      </c>
      <c r="B6" s="18">
        <f>C4/C4</f>
        <v/>
      </c>
      <c r="C6" s="18">
        <f>D4/D4</f>
        <v/>
      </c>
      <c r="D6" s="18">
        <f>E4/E4</f>
        <v/>
      </c>
      <c r="E6" s="18">
        <f>F4/F4</f>
        <v/>
      </c>
      <c r="F6" s="18">
        <f>G4/G4</f>
        <v/>
      </c>
      <c r="G6" s="19" t="inlineStr"/>
    </row>
    <row r="7">
      <c r="A7" s="6" t="inlineStr">
        <is>
          <t>On-Time Delivery %</t>
        </is>
      </c>
      <c r="B7" s="15" t="n">
        <v>0.921</v>
      </c>
      <c r="C7" s="15" t="n">
        <v>0.9340000000000001</v>
      </c>
      <c r="D7" s="15" t="n">
        <v>0.946</v>
      </c>
      <c r="E7" s="15" t="n">
        <v>0.9409999999999999</v>
      </c>
      <c r="F7" s="15" t="n">
        <v>0.952</v>
      </c>
      <c r="G7" s="15" t="inlineStr"/>
    </row>
    <row r="8">
      <c r="A8" s="17" t="inlineStr">
        <is>
          <t>Fuel Cost % of Revenue</t>
        </is>
      </c>
      <c r="B8" s="19" t="n">
        <v>0.182</v>
      </c>
      <c r="C8" s="19" t="n">
        <v>0.171</v>
      </c>
      <c r="D8" s="19" t="n">
        <v>0.163</v>
      </c>
      <c r="E8" s="19" t="n">
        <v>0.168</v>
      </c>
      <c r="F8" s="19" t="n">
        <v>0.159</v>
      </c>
      <c r="G8" s="19" t="inlineStr"/>
    </row>
    <row r="9">
      <c r="A9" s="6" t="inlineStr">
        <is>
          <t>Damage Claims per 1000 Deliveries</t>
        </is>
      </c>
      <c r="B9" s="20" t="n">
        <v>3.8</v>
      </c>
      <c r="C9" s="20" t="n">
        <v>3.4</v>
      </c>
      <c r="D9" s="20" t="n">
        <v>3.1</v>
      </c>
      <c r="E9" s="20" t="n">
        <v>3.2</v>
      </c>
      <c r="F9" s="20" t="n">
        <v>2.9</v>
      </c>
      <c r="G9" s="15" t="inlineStr"/>
    </row>
    <row r="10">
      <c r="A10" s="17" t="inlineStr">
        <is>
          <t>Warehouse Sq Ft (000s)</t>
        </is>
      </c>
      <c r="B10" s="18" t="n">
        <v>880</v>
      </c>
      <c r="C10" s="18" t="n">
        <v>940</v>
      </c>
      <c r="D10" s="18" t="n">
        <v>1020</v>
      </c>
      <c r="E10" s="18" t="n">
        <v>990</v>
      </c>
      <c r="F10" s="18" t="n">
        <v>1060</v>
      </c>
      <c r="G10" s="19" t="inlineStr"/>
    </row>
    <row r="11">
      <c r="A11" s="6" t="inlineStr">
        <is>
          <t>Warehouse Utilization %</t>
        </is>
      </c>
      <c r="B11" s="15" t="n">
        <v>0.842</v>
      </c>
      <c r="C11" s="15" t="n">
        <v>0.861</v>
      </c>
      <c r="D11" s="15" t="n">
        <v>0.879</v>
      </c>
      <c r="E11" s="15" t="n">
        <v>0.872</v>
      </c>
      <c r="F11" s="15" t="n">
        <v>0.891</v>
      </c>
      <c r="G11" s="15" t="inlineStr"/>
    </row>
    <row r="12">
      <c r="A12" s="17" t="inlineStr">
        <is>
          <t>Driver Retention %</t>
        </is>
      </c>
      <c r="B12" s="19" t="n">
        <v>0.781</v>
      </c>
      <c r="C12" s="19" t="n">
        <v>0.802</v>
      </c>
      <c r="D12" s="19" t="n">
        <v>0.821</v>
      </c>
      <c r="E12" s="19" t="n">
        <v>0.8139999999999999</v>
      </c>
      <c r="F12" s="19" t="n">
        <v>0.834</v>
      </c>
      <c r="G12" s="19" t="inlineStr"/>
    </row>
    <row r="13">
      <c r="A13" s="6" t="inlineStr">
        <is>
          <t>Cost per Mile ($)</t>
        </is>
      </c>
      <c r="B13" s="20" t="n">
        <v>2.41</v>
      </c>
      <c r="C13" s="20" t="n">
        <v>2.38</v>
      </c>
      <c r="D13" s="20" t="n">
        <v>2.34</v>
      </c>
      <c r="E13" s="20" t="n">
        <v>2.36</v>
      </c>
      <c r="F13" s="20" t="n">
        <v>2.31</v>
      </c>
      <c r="G13" s="15">
        <f>(G13-F13)/F13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6" t="inlineStr">
        <is>
          <t>FastTrack — DCF</t>
        </is>
      </c>
    </row>
    <row r="4">
      <c r="A4" s="6" t="inlineStr">
        <is>
          <t>Revenue Growth Yr1-2</t>
        </is>
      </c>
      <c r="B4" s="21" t="n">
        <v>0.11</v>
      </c>
    </row>
    <row r="5">
      <c r="A5" s="6" t="inlineStr">
        <is>
          <t>Revenue Growth Yr3-5</t>
        </is>
      </c>
      <c r="B5" s="21" t="n">
        <v>0.07000000000000001</v>
      </c>
    </row>
    <row r="6">
      <c r="A6" s="6" t="inlineStr">
        <is>
          <t>EBITDA Margin</t>
        </is>
      </c>
      <c r="B6" s="21" t="n">
        <v>0.214</v>
      </c>
    </row>
    <row r="7">
      <c r="A7" s="6" t="inlineStr">
        <is>
          <t>D&amp;A % Rev</t>
        </is>
      </c>
      <c r="B7" s="21" t="n">
        <v>0.044</v>
      </c>
    </row>
    <row r="8">
      <c r="A8" s="6" t="inlineStr">
        <is>
          <t>Capex % Rev</t>
        </is>
      </c>
      <c r="B8" s="21" t="n">
        <v>0.062</v>
      </c>
    </row>
    <row r="9">
      <c r="A9" s="6" t="inlineStr">
        <is>
          <t>Tax Rate</t>
        </is>
      </c>
      <c r="B9" s="21" t="n">
        <v>0.26</v>
      </c>
    </row>
    <row r="10">
      <c r="A10" s="6" t="inlineStr">
        <is>
          <t>WACC</t>
        </is>
      </c>
      <c r="B10" s="21" t="n">
        <v>0.115</v>
      </c>
    </row>
    <row r="11">
      <c r="A11" s="6" t="inlineStr">
        <is>
          <t>Terminal Growth</t>
        </is>
      </c>
      <c r="B11" s="21" t="n">
        <v>0.025</v>
      </c>
    </row>
    <row r="14">
      <c r="A14" s="3" t="inlineStr"/>
      <c r="B14" s="3" t="inlineStr">
        <is>
          <t>2025E</t>
        </is>
      </c>
      <c r="C14" s="3" t="inlineStr">
        <is>
          <t>2026E</t>
        </is>
      </c>
      <c r="D14" s="3" t="inlineStr">
        <is>
          <t>2027E</t>
        </is>
      </c>
      <c r="E14" s="3" t="inlineStr">
        <is>
          <t>2028E</t>
        </is>
      </c>
      <c r="F14" s="3" t="inlineStr">
        <is>
          <t>2029E</t>
        </is>
      </c>
    </row>
    <row r="15">
      <c r="A15" s="6" t="inlineStr">
        <is>
          <t>Revenue</t>
        </is>
      </c>
      <c r="B15" s="7">
        <f>95800*(1+$B$4)</f>
        <v/>
      </c>
      <c r="C15" s="7">
        <f>B15*(1+$B$4)</f>
        <v/>
      </c>
      <c r="D15" s="7">
        <f>C15*(1+$B$5)</f>
        <v/>
      </c>
      <c r="E15" s="7">
        <f>D15*(1+$B$5)</f>
        <v/>
      </c>
      <c r="F15" s="7">
        <f>E15*(1+$B$5)</f>
        <v/>
      </c>
    </row>
    <row r="16">
      <c r="A16" s="6" t="inlineStr">
        <is>
          <t>EBITDA</t>
        </is>
      </c>
      <c r="B16" s="7">
        <f>B15*$B$6</f>
        <v/>
      </c>
      <c r="C16" s="7">
        <f>C15*$B$6</f>
        <v/>
      </c>
      <c r="D16" s="7">
        <f>D15*$B$6</f>
        <v/>
      </c>
      <c r="E16" s="7">
        <f>E15*$B$6</f>
        <v/>
      </c>
      <c r="F16" s="7">
        <f>F15*$B$6</f>
        <v/>
      </c>
    </row>
    <row r="17">
      <c r="A17" s="6" t="inlineStr">
        <is>
          <t>D&amp;A</t>
        </is>
      </c>
      <c r="B17" s="7">
        <f>-B15*$B$7</f>
        <v/>
      </c>
      <c r="C17" s="7">
        <f>-C15*$B$7</f>
        <v/>
      </c>
      <c r="D17" s="7">
        <f>-D15*$B$7</f>
        <v/>
      </c>
      <c r="E17" s="7">
        <f>-E15*$B$7</f>
        <v/>
      </c>
      <c r="F17" s="7">
        <f>-F15*$B$7</f>
        <v/>
      </c>
    </row>
    <row r="18">
      <c r="A18" s="6" t="inlineStr">
        <is>
          <t>EBIT</t>
        </is>
      </c>
      <c r="B18" s="7">
        <f>B16+B17</f>
        <v/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</row>
    <row r="19">
      <c r="A19" s="6" t="inlineStr">
        <is>
          <t>Tax</t>
        </is>
      </c>
      <c r="B19" s="7">
        <f>-B18*(1-$B$9)</f>
        <v/>
      </c>
      <c r="C19" s="7">
        <f>-C18*(1-$B$9)</f>
        <v/>
      </c>
      <c r="D19" s="7">
        <f>-D18*(1-$B$9)</f>
        <v/>
      </c>
      <c r="E19" s="7">
        <f>-E18*(1-$B$9)</f>
        <v/>
      </c>
      <c r="F19" s="7">
        <f>-F18*(1-$B$9)</f>
        <v/>
      </c>
    </row>
    <row r="20">
      <c r="A20" s="6" t="inlineStr">
        <is>
          <t>Add D&amp;A</t>
        </is>
      </c>
      <c r="B20" s="7">
        <f>-B17</f>
        <v/>
      </c>
      <c r="C20" s="7">
        <f>-C17</f>
        <v/>
      </c>
      <c r="D20" s="7">
        <f>-D17</f>
        <v/>
      </c>
      <c r="E20" s="7">
        <f>-E17</f>
        <v/>
      </c>
      <c r="F20" s="7">
        <f>-F17</f>
        <v/>
      </c>
    </row>
    <row r="21">
      <c r="A21" s="6" t="inlineStr">
        <is>
          <t>Capex</t>
        </is>
      </c>
      <c r="B21" s="7">
        <f>-B15*$B$8</f>
        <v/>
      </c>
      <c r="C21" s="7">
        <f>-C15*$B$8</f>
        <v/>
      </c>
      <c r="D21" s="7">
        <f>-D15*$B$8</f>
        <v/>
      </c>
      <c r="E21" s="7">
        <f>-E15*$B$8</f>
        <v/>
      </c>
      <c r="F21" s="7">
        <f>-F15*$B$8</f>
        <v/>
      </c>
    </row>
    <row r="22">
      <c r="A22" s="10" t="inlineStr">
        <is>
          <t>FCF</t>
        </is>
      </c>
      <c r="B22" s="7">
        <f>SUM(B16:B22)</f>
        <v/>
      </c>
      <c r="C22" s="7">
        <f>SUM(C16:C22)</f>
        <v/>
      </c>
      <c r="D22" s="7">
        <f>SUM(D16:D22)</f>
        <v/>
      </c>
      <c r="E22" s="7">
        <f>SUM(E16:E22)</f>
        <v/>
      </c>
      <c r="F22" s="7">
        <f>SUM(F16:F22)</f>
        <v/>
      </c>
    </row>
    <row r="23">
      <c r="A23" s="6" t="inlineStr">
        <is>
          <t>Disc</t>
        </is>
      </c>
      <c r="B23" s="7">
        <f>1/(1+$B$10)^1</f>
        <v/>
      </c>
      <c r="C23" s="7">
        <f>1/(1+$B$10)^2</f>
        <v/>
      </c>
      <c r="D23" s="7">
        <f>1/(1+$B$10)^3</f>
        <v/>
      </c>
      <c r="E23" s="7">
        <f>1/(1+$B$10)^4</f>
        <v/>
      </c>
      <c r="F23" s="7">
        <f>1/(1+$B$10)^5</f>
        <v/>
      </c>
    </row>
    <row r="24">
      <c r="A24" s="6" t="inlineStr">
        <is>
          <t>PV FCF</t>
        </is>
      </c>
      <c r="B24" s="7">
        <f>B23*B24</f>
        <v/>
      </c>
      <c r="C24" s="7">
        <f>C23*C24</f>
        <v/>
      </c>
      <c r="D24" s="7">
        <f>D23*D24</f>
        <v/>
      </c>
      <c r="E24" s="7">
        <f>E23*E24</f>
        <v/>
      </c>
      <c r="F24" s="7">
        <f>F23*F24</f>
        <v/>
      </c>
    </row>
    <row r="26">
      <c r="A26" s="22" t="inlineStr">
        <is>
          <t>Valuation</t>
        </is>
      </c>
    </row>
    <row r="27">
      <c r="A27" s="6" t="inlineStr">
        <is>
          <t>PV FCFs</t>
        </is>
      </c>
      <c r="B27" s="7">
        <f>SUM(B25:F25)</f>
        <v/>
      </c>
    </row>
    <row r="28">
      <c r="A28" s="6" t="inlineStr">
        <is>
          <t>TV</t>
        </is>
      </c>
      <c r="B28" s="7">
        <f>F23*(1+$B$11)/($B$10-$B$11)</f>
        <v/>
      </c>
    </row>
    <row r="29">
      <c r="A29" s="6" t="inlineStr">
        <is>
          <t>PV TV</t>
        </is>
      </c>
      <c r="B29" s="7">
        <f>B28/(1+$B$10)^5</f>
        <v/>
      </c>
    </row>
    <row r="30">
      <c r="A30" s="10" t="inlineStr">
        <is>
          <t>EV</t>
        </is>
      </c>
      <c r="B30" s="7">
        <f>B27+B29</f>
        <v/>
      </c>
    </row>
    <row r="31">
      <c r="A31" s="6" t="inlineStr">
        <is>
          <t>Net Debt</t>
        </is>
      </c>
      <c r="B31" s="7" t="n">
        <v>-31200</v>
      </c>
    </row>
    <row r="32">
      <c r="A32" s="10" t="inlineStr">
        <is>
          <t>Equity Value</t>
        </is>
      </c>
      <c r="B32" s="7">
        <f>B30+B31</f>
        <v/>
      </c>
    </row>
  </sheetData>
  <mergeCells count="2">
    <mergeCell ref="A26:C2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2026-04-25T03:48:15Z</dcterms:created>
  <dcterms:modified xmlns:dcterms="http://purl.org/dc/terms/" xmlns:xsi="http://www.w3.org/2001/XMLSchema-instance" xsi:type="dcterms:W3CDTF">2026-04-25T03:48:15Z</dcterms:modified>
</cp:coreProperties>
</file>
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linical KPI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#,##0.0;(#,##0.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10"/>
    </font>
    <font>
      <name val="Arial"/>
      <color rgb="00595959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4" fontId="8" fillId="3" borderId="0" applyAlignment="1" pivotButton="0" quotePrefix="0" xfId="0">
      <alignment horizontal="right"/>
    </xf>
    <xf numFmtId="165" fontId="8" fillId="3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166" fontId="5" fillId="3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7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CareFirst Healthcare Services Group</t>
        </is>
      </c>
    </row>
    <row r="2">
      <c r="A2" s="2" t="inlineStr">
        <is>
          <t>Payor Mix: 44% Commercial | 31% Medicare | 18% Medicaid | 7% Self-Pay</t>
        </is>
      </c>
    </row>
    <row r="4">
      <c r="A4" s="3" t="inlineStr">
        <is>
          <t>Revenue &amp; Earnings</t>
        </is>
      </c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Q1'24A</t>
        </is>
      </c>
      <c r="F4" s="3" t="inlineStr">
        <is>
          <t>Q1'25A</t>
        </is>
      </c>
      <c r="G4" s="3" t="inlineStr">
        <is>
          <t>YoY %</t>
        </is>
      </c>
    </row>
    <row r="5">
      <c r="A5" s="4" t="inlineStr">
        <is>
          <t>Gross Patient Revenue</t>
        </is>
      </c>
      <c r="B5" s="5" t="n">
        <v>112400</v>
      </c>
      <c r="C5" s="5" t="n">
        <v>128100</v>
      </c>
      <c r="D5" s="5" t="n">
        <v>144800</v>
      </c>
      <c r="E5" s="5" t="n">
        <v>35200</v>
      </c>
      <c r="F5" s="5" t="n">
        <v>38900</v>
      </c>
      <c r="G5" s="6">
        <f>(G5-F5)/F5</f>
        <v/>
      </c>
    </row>
    <row r="6">
      <c r="A6" s="7" t="inlineStr">
        <is>
          <t xml:space="preserve">  Less: Contractual Adj.</t>
        </is>
      </c>
      <c r="B6" s="8" t="n">
        <v>-38200</v>
      </c>
      <c r="C6" s="8" t="n">
        <v>-43100</v>
      </c>
      <c r="D6" s="8" t="n">
        <v>-48200</v>
      </c>
      <c r="E6" s="8" t="n">
        <v>-11700</v>
      </c>
      <c r="F6" s="8" t="n">
        <v>-12900</v>
      </c>
      <c r="G6" s="9" t="inlineStr"/>
    </row>
    <row r="7">
      <c r="A7" s="10" t="inlineStr">
        <is>
          <t>Net Patient Revenue</t>
        </is>
      </c>
      <c r="B7" s="11" t="n">
        <v>74200</v>
      </c>
      <c r="C7" s="11" t="n">
        <v>85000</v>
      </c>
      <c r="D7" s="11" t="n">
        <v>96600</v>
      </c>
      <c r="E7" s="11" t="n">
        <v>23500</v>
      </c>
      <c r="F7" s="11" t="n">
        <v>26000</v>
      </c>
      <c r="G7" s="12">
        <f>(G7-F7)/F7</f>
        <v/>
      </c>
    </row>
    <row r="8">
      <c r="A8" s="4" t="inlineStr">
        <is>
          <t>Other Operating Revenue</t>
        </is>
      </c>
      <c r="B8" s="8" t="n">
        <v>2800</v>
      </c>
      <c r="C8" s="8" t="n">
        <v>3100</v>
      </c>
      <c r="D8" s="8" t="n">
        <v>3400</v>
      </c>
      <c r="E8" s="8" t="n">
        <v>840</v>
      </c>
      <c r="F8" s="8" t="n">
        <v>920</v>
      </c>
      <c r="G8" s="9" t="inlineStr"/>
    </row>
    <row r="9">
      <c r="A9" s="10" t="inlineStr">
        <is>
          <t>Total Net Revenue</t>
        </is>
      </c>
      <c r="B9" s="11" t="n">
        <v>77000</v>
      </c>
      <c r="C9" s="11" t="n">
        <v>88100</v>
      </c>
      <c r="D9" s="11" t="n">
        <v>100000</v>
      </c>
      <c r="E9" s="11" t="n">
        <v>24340</v>
      </c>
      <c r="F9" s="11" t="n">
        <v>26920</v>
      </c>
      <c r="G9" s="12">
        <f>(G9-F9)/F9</f>
        <v/>
      </c>
    </row>
    <row r="10">
      <c r="A10" s="4" t="inlineStr">
        <is>
          <t>Salaries &amp; Benefits</t>
        </is>
      </c>
      <c r="B10" s="8" t="n">
        <v>42100</v>
      </c>
      <c r="C10" s="8" t="n">
        <v>47800</v>
      </c>
      <c r="D10" s="8" t="n">
        <v>53400</v>
      </c>
      <c r="E10" s="8" t="n">
        <v>13200</v>
      </c>
      <c r="F10" s="8" t="n">
        <v>14500</v>
      </c>
      <c r="G10" s="9" t="inlineStr"/>
    </row>
    <row r="11">
      <c r="A11" s="7" t="inlineStr">
        <is>
          <t xml:space="preserve">  Physician Compensation</t>
        </is>
      </c>
      <c r="B11" s="5" t="n">
        <v>18200</v>
      </c>
      <c r="C11" s="5" t="n">
        <v>20800</v>
      </c>
      <c r="D11" s="5" t="n">
        <v>23100</v>
      </c>
      <c r="E11" s="5" t="n">
        <v>5700</v>
      </c>
      <c r="F11" s="5" t="n">
        <v>6200</v>
      </c>
      <c r="G11" s="6" t="inlineStr"/>
    </row>
    <row r="12">
      <c r="A12" s="7" t="inlineStr">
        <is>
          <t xml:space="preserve">  Nursing &amp; Allied Health</t>
        </is>
      </c>
      <c r="B12" s="8" t="n">
        <v>16400</v>
      </c>
      <c r="C12" s="8" t="n">
        <v>18600</v>
      </c>
      <c r="D12" s="8" t="n">
        <v>21000</v>
      </c>
      <c r="E12" s="8" t="n">
        <v>5100</v>
      </c>
      <c r="F12" s="8" t="n">
        <v>5600</v>
      </c>
      <c r="G12" s="9" t="inlineStr"/>
    </row>
    <row r="13">
      <c r="A13" s="7" t="inlineStr">
        <is>
          <t xml:space="preserve">  Admin &amp; Support</t>
        </is>
      </c>
      <c r="B13" s="5" t="n">
        <v>7500</v>
      </c>
      <c r="C13" s="5" t="n">
        <v>8400</v>
      </c>
      <c r="D13" s="5" t="n">
        <v>9300</v>
      </c>
      <c r="E13" s="5" t="n">
        <v>2400</v>
      </c>
      <c r="F13" s="5" t="n">
        <v>2700</v>
      </c>
      <c r="G13" s="6" t="inlineStr"/>
    </row>
    <row r="14">
      <c r="A14" s="4" t="inlineStr">
        <is>
          <t>Medical Supplies &amp; Drugs</t>
        </is>
      </c>
      <c r="B14" s="8" t="n">
        <v>8400</v>
      </c>
      <c r="C14" s="8" t="n">
        <v>9600</v>
      </c>
      <c r="D14" s="8" t="n">
        <v>10800</v>
      </c>
      <c r="E14" s="8" t="n">
        <v>2700</v>
      </c>
      <c r="F14" s="8" t="n">
        <v>2900</v>
      </c>
      <c r="G14" s="9" t="inlineStr"/>
    </row>
    <row r="15">
      <c r="A15" s="4" t="inlineStr">
        <is>
          <t>Facilities &amp; Occupancy</t>
        </is>
      </c>
      <c r="B15" s="5" t="n">
        <v>4200</v>
      </c>
      <c r="C15" s="5" t="n">
        <v>4800</v>
      </c>
      <c r="D15" s="5" t="n">
        <v>5400</v>
      </c>
      <c r="E15" s="5" t="n">
        <v>1350</v>
      </c>
      <c r="F15" s="5" t="n">
        <v>1480</v>
      </c>
      <c r="G15" s="6" t="inlineStr"/>
    </row>
    <row r="16">
      <c r="A16" s="4" t="inlineStr">
        <is>
          <t>Other Direct Costs</t>
        </is>
      </c>
      <c r="B16" s="8" t="n">
        <v>3100</v>
      </c>
      <c r="C16" s="8" t="n">
        <v>3400</v>
      </c>
      <c r="D16" s="8" t="n">
        <v>3800</v>
      </c>
      <c r="E16" s="8" t="n">
        <v>960</v>
      </c>
      <c r="F16" s="8" t="n">
        <v>1020</v>
      </c>
      <c r="G16" s="9" t="inlineStr"/>
    </row>
    <row r="17">
      <c r="A17" s="10" t="inlineStr">
        <is>
          <t>NOI (Net Operating Income)</t>
        </is>
      </c>
      <c r="B17" s="11" t="n">
        <v>19200</v>
      </c>
      <c r="C17" s="11" t="n">
        <v>22500</v>
      </c>
      <c r="D17" s="11" t="n">
        <v>26600</v>
      </c>
      <c r="E17" s="11" t="n">
        <v>6130</v>
      </c>
      <c r="F17" s="11" t="n">
        <v>7020</v>
      </c>
      <c r="G17" s="12">
        <f>(G17-F17)/F17</f>
        <v/>
      </c>
    </row>
    <row r="18">
      <c r="A18" s="4" t="inlineStr">
        <is>
          <t>NOI Margin %</t>
        </is>
      </c>
      <c r="B18" s="9">
        <f>C17/C9</f>
        <v/>
      </c>
      <c r="C18" s="9">
        <f>D17/D9</f>
        <v/>
      </c>
      <c r="D18" s="9">
        <f>E17/E9</f>
        <v/>
      </c>
      <c r="E18" s="9">
        <f>F17/F9</f>
        <v/>
      </c>
      <c r="F18" s="9">
        <f>G17/G9</f>
        <v/>
      </c>
      <c r="G18" s="9" t="inlineStr"/>
    </row>
    <row r="19">
      <c r="A19" s="4" t="inlineStr">
        <is>
          <t>Corporate Overhead</t>
        </is>
      </c>
      <c r="B19" s="5" t="n">
        <v>-4100</v>
      </c>
      <c r="C19" s="5" t="n">
        <v>-4600</v>
      </c>
      <c r="D19" s="5" t="n">
        <v>-5100</v>
      </c>
      <c r="E19" s="5" t="n">
        <v>-1280</v>
      </c>
      <c r="F19" s="5" t="n">
        <v>-1380</v>
      </c>
      <c r="G19" s="6" t="inlineStr"/>
    </row>
    <row r="20">
      <c r="A20" s="10" t="inlineStr">
        <is>
          <t>EBITDA</t>
        </is>
      </c>
      <c r="B20" s="13" t="n">
        <v>15100</v>
      </c>
      <c r="C20" s="13" t="n">
        <v>17900</v>
      </c>
      <c r="D20" s="13" t="n">
        <v>21500</v>
      </c>
      <c r="E20" s="13" t="n">
        <v>4850</v>
      </c>
      <c r="F20" s="13" t="n">
        <v>5640</v>
      </c>
      <c r="G20" s="14">
        <f>(G20-F20)/F20</f>
        <v/>
      </c>
    </row>
    <row r="21">
      <c r="A21" s="4" t="inlineStr">
        <is>
          <t>Run-Rate Acquisitions Add-back</t>
        </is>
      </c>
      <c r="B21" s="5" t="n">
        <v>800</v>
      </c>
      <c r="C21" s="5" t="n">
        <v>600</v>
      </c>
      <c r="D21" s="5" t="n">
        <v>400</v>
      </c>
      <c r="E21" s="5" t="n">
        <v>100</v>
      </c>
      <c r="F21" s="5" t="n">
        <v>350</v>
      </c>
      <c r="G21" s="6" t="inlineStr"/>
    </row>
    <row r="22">
      <c r="A22" s="10" t="inlineStr">
        <is>
          <t>Run-Rate EBITDA</t>
        </is>
      </c>
      <c r="B22" s="13" t="n">
        <v>15900</v>
      </c>
      <c r="C22" s="13" t="n">
        <v>18500</v>
      </c>
      <c r="D22" s="13" t="n">
        <v>21900</v>
      </c>
      <c r="E22" s="13" t="n">
        <v>4950</v>
      </c>
      <c r="F22" s="13" t="n">
        <v>5990</v>
      </c>
      <c r="G22" s="14">
        <f>(G22-F22)/F22</f>
        <v/>
      </c>
    </row>
    <row r="23">
      <c r="A23" s="4" t="inlineStr">
        <is>
          <t>Run-Rate EBITDA Margin %</t>
        </is>
      </c>
      <c r="B23" s="6">
        <f>C22/C9</f>
        <v/>
      </c>
      <c r="C23" s="6">
        <f>D22/D9</f>
        <v/>
      </c>
      <c r="D23" s="6">
        <f>E22/E9</f>
        <v/>
      </c>
      <c r="E23" s="6">
        <f>F22/F9</f>
        <v/>
      </c>
      <c r="F23" s="6">
        <f>G22/G9</f>
        <v/>
      </c>
      <c r="G23" s="6" t="inlineStr"/>
    </row>
    <row r="24">
      <c r="A24" s="4" t="inlineStr">
        <is>
          <t>D&amp;A</t>
        </is>
      </c>
      <c r="B24" s="8" t="n">
        <v>3200</v>
      </c>
      <c r="C24" s="8" t="n">
        <v>3600</v>
      </c>
      <c r="D24" s="8" t="n">
        <v>4100</v>
      </c>
      <c r="E24" s="8" t="n">
        <v>1025</v>
      </c>
      <c r="F24" s="8" t="n">
        <v>1120</v>
      </c>
      <c r="G24" s="9" t="inlineStr"/>
    </row>
    <row r="25">
      <c r="A25" s="10" t="inlineStr">
        <is>
          <t>EBIT</t>
        </is>
      </c>
      <c r="B25" s="11" t="n">
        <v>11900</v>
      </c>
      <c r="C25" s="11" t="n">
        <v>14300</v>
      </c>
      <c r="D25" s="11" t="n">
        <v>17400</v>
      </c>
      <c r="E25" s="11" t="n">
        <v>3825</v>
      </c>
      <c r="F25" s="11" t="n">
        <v>4520</v>
      </c>
      <c r="G25" s="12">
        <f>(G25-F25)/F25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5" t="inlineStr">
        <is>
          <t>CareFirst — Clinical &amp; Operational Metrics</t>
        </is>
      </c>
    </row>
    <row r="3">
      <c r="A3" s="3" t="inlineStr">
        <is>
          <t>Metric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16" t="inlineStr">
        <is>
          <t>Patient Visits</t>
        </is>
      </c>
      <c r="B4" s="17" t="n">
        <v>84200</v>
      </c>
      <c r="C4" s="17" t="n">
        <v>96100</v>
      </c>
      <c r="D4" s="17" t="n">
        <v>108800</v>
      </c>
      <c r="E4" s="17" t="n">
        <v>26400</v>
      </c>
      <c r="F4" s="17" t="n">
        <v>29200</v>
      </c>
      <c r="G4" s="9">
        <f>(G4-F4)/F4</f>
        <v/>
      </c>
    </row>
    <row r="5">
      <c r="A5" s="4" t="inlineStr">
        <is>
          <t>Avg Revenue per Visit ($)</t>
        </is>
      </c>
      <c r="B5" s="18">
        <f>C9/C4</f>
        <v/>
      </c>
      <c r="C5" s="18">
        <f>D9/D4</f>
        <v/>
      </c>
      <c r="D5" s="18">
        <f>E9/E4</f>
        <v/>
      </c>
      <c r="E5" s="18">
        <f>F9/F4</f>
        <v/>
      </c>
      <c r="F5" s="18">
        <f>G9/G4</f>
        <v/>
      </c>
      <c r="G5" s="6" t="inlineStr"/>
    </row>
    <row r="6">
      <c r="A6" s="16" t="inlineStr">
        <is>
          <t>Provider FTE Count</t>
        </is>
      </c>
      <c r="B6" s="17" t="n">
        <v>312</v>
      </c>
      <c r="C6" s="17" t="n">
        <v>348</v>
      </c>
      <c r="D6" s="17" t="n">
        <v>388</v>
      </c>
      <c r="E6" s="17" t="n">
        <v>374</v>
      </c>
      <c r="F6" s="17" t="n">
        <v>402</v>
      </c>
      <c r="G6" s="9" t="inlineStr"/>
    </row>
    <row r="7">
      <c r="A7" s="4" t="inlineStr">
        <is>
          <t>Visits per Provider per Day</t>
        </is>
      </c>
      <c r="B7" s="18" t="n">
        <v>14.2</v>
      </c>
      <c r="C7" s="18" t="n">
        <v>14.6</v>
      </c>
      <c r="D7" s="18" t="n">
        <v>15</v>
      </c>
      <c r="E7" s="18" t="n">
        <v>14.8</v>
      </c>
      <c r="F7" s="18" t="n">
        <v>15.3</v>
      </c>
      <c r="G7" s="6" t="inlineStr"/>
    </row>
    <row r="8">
      <c r="A8" s="16" t="inlineStr">
        <is>
          <t>Patient Satisfaction Score (1-5)</t>
        </is>
      </c>
      <c r="B8" s="17" t="n">
        <v>4.12</v>
      </c>
      <c r="C8" s="17" t="n">
        <v>4.18</v>
      </c>
      <c r="D8" s="17" t="n">
        <v>4.24</v>
      </c>
      <c r="E8" s="17" t="n">
        <v>4.21</v>
      </c>
      <c r="F8" s="17" t="n">
        <v>4.29</v>
      </c>
      <c r="G8" s="9" t="inlineStr"/>
    </row>
    <row r="9">
      <c r="A9" s="4" t="inlineStr">
        <is>
          <t>No-Show Rate %</t>
        </is>
      </c>
      <c r="B9" s="6" t="n">
        <v>0.091</v>
      </c>
      <c r="C9" s="6" t="n">
        <v>0.08400000000000001</v>
      </c>
      <c r="D9" s="6" t="n">
        <v>0.078</v>
      </c>
      <c r="E9" s="6" t="n">
        <v>0.081</v>
      </c>
      <c r="F9" s="6" t="n">
        <v>0.074</v>
      </c>
      <c r="G9" s="6" t="inlineStr"/>
    </row>
    <row r="10">
      <c r="A10" s="16" t="inlineStr">
        <is>
          <t>Avg Length of Stay (days)</t>
        </is>
      </c>
      <c r="B10" s="17" t="n">
        <v>3.4</v>
      </c>
      <c r="C10" s="17" t="n">
        <v>3.2</v>
      </c>
      <c r="D10" s="17" t="n">
        <v>3.1</v>
      </c>
      <c r="E10" s="17" t="n">
        <v>3.2</v>
      </c>
      <c r="F10" s="17" t="n">
        <v>3</v>
      </c>
      <c r="G10" s="9" t="inlineStr"/>
    </row>
    <row r="11">
      <c r="A11" s="4" t="inlineStr">
        <is>
          <t>Readmission Rate %</t>
        </is>
      </c>
      <c r="B11" s="6" t="n">
        <v>0.124</v>
      </c>
      <c r="C11" s="6" t="n">
        <v>0.118</v>
      </c>
      <c r="D11" s="6" t="n">
        <v>0.112</v>
      </c>
      <c r="E11" s="6" t="n">
        <v>0.114</v>
      </c>
      <c r="F11" s="6" t="n">
        <v>0.108</v>
      </c>
      <c r="G11" s="6" t="inlineStr"/>
    </row>
    <row r="12">
      <c r="A12" s="16" t="inlineStr">
        <is>
          <t>Collections Rate %</t>
        </is>
      </c>
      <c r="B12" s="9" t="n">
        <v>0.9409999999999999</v>
      </c>
      <c r="C12" s="9" t="n">
        <v>0.947</v>
      </c>
      <c r="D12" s="9" t="n">
        <v>0.952</v>
      </c>
      <c r="E12" s="9" t="n">
        <v>0.95</v>
      </c>
      <c r="F12" s="9" t="n">
        <v>0.956</v>
      </c>
      <c r="G12" s="9" t="inlineStr"/>
    </row>
    <row r="13">
      <c r="A13" s="4" t="inlineStr">
        <is>
          <t>Days in AR</t>
        </is>
      </c>
      <c r="B13" s="18" t="n">
        <v>48</v>
      </c>
      <c r="C13" s="18" t="n">
        <v>44</v>
      </c>
      <c r="D13" s="18" t="n">
        <v>41</v>
      </c>
      <c r="E13" s="18" t="n">
        <v>43</v>
      </c>
      <c r="F13" s="18" t="n">
        <v>39</v>
      </c>
      <c r="G13" s="6">
        <f>(G13-F13)/F13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5" t="inlineStr">
        <is>
          <t>CareFirst — DCF</t>
        </is>
      </c>
    </row>
    <row r="4">
      <c r="A4" s="4" t="inlineStr">
        <is>
          <t>Revenue Growth Yr1-2</t>
        </is>
      </c>
      <c r="B4" s="19" t="n">
        <v>0.1</v>
      </c>
    </row>
    <row r="5">
      <c r="A5" s="4" t="inlineStr">
        <is>
          <t>Revenue Growth Yr3-5</t>
        </is>
      </c>
      <c r="B5" s="19" t="n">
        <v>0.07000000000000001</v>
      </c>
    </row>
    <row r="6">
      <c r="A6" s="4" t="inlineStr">
        <is>
          <t>Run-Rate EBITDA Margin</t>
        </is>
      </c>
      <c r="B6" s="19" t="n">
        <v>0.219</v>
      </c>
    </row>
    <row r="7">
      <c r="A7" s="4" t="inlineStr">
        <is>
          <t>D&amp;A % Rev</t>
        </is>
      </c>
      <c r="B7" s="19" t="n">
        <v>0.041</v>
      </c>
    </row>
    <row r="8">
      <c r="A8" s="4" t="inlineStr">
        <is>
          <t>Capex % Rev</t>
        </is>
      </c>
      <c r="B8" s="19" t="n">
        <v>0.038</v>
      </c>
    </row>
    <row r="9">
      <c r="A9" s="4" t="inlineStr">
        <is>
          <t>Tax Rate</t>
        </is>
      </c>
      <c r="B9" s="19" t="n">
        <v>0.26</v>
      </c>
    </row>
    <row r="10">
      <c r="A10" s="4" t="inlineStr">
        <is>
          <t>WACC</t>
        </is>
      </c>
      <c r="B10" s="19" t="n">
        <v>0.105</v>
      </c>
    </row>
    <row r="11">
      <c r="A11" s="4" t="inlineStr">
        <is>
          <t>Terminal Growth</t>
        </is>
      </c>
      <c r="B11" s="19" t="n">
        <v>0.03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4" t="inlineStr">
        <is>
          <t>Revenue</t>
        </is>
      </c>
      <c r="B15" s="5">
        <f>100000*(1+$B$4)</f>
        <v/>
      </c>
      <c r="C15" s="5">
        <f>B15*(1+$B$4)</f>
        <v/>
      </c>
      <c r="D15" s="5">
        <f>C15*(1+$B$5)</f>
        <v/>
      </c>
      <c r="E15" s="5">
        <f>D15*(1+$B$5)</f>
        <v/>
      </c>
      <c r="F15" s="5">
        <f>E15*(1+$B$5)</f>
        <v/>
      </c>
    </row>
    <row r="16">
      <c r="A16" s="4" t="inlineStr">
        <is>
          <t>EBITDA</t>
        </is>
      </c>
      <c r="B16" s="5">
        <f>B15*$B$6</f>
        <v/>
      </c>
      <c r="C16" s="5">
        <f>C15*$B$6</f>
        <v/>
      </c>
      <c r="D16" s="5">
        <f>D15*$B$6</f>
        <v/>
      </c>
      <c r="E16" s="5">
        <f>E15*$B$6</f>
        <v/>
      </c>
      <c r="F16" s="5">
        <f>F15*$B$6</f>
        <v/>
      </c>
    </row>
    <row r="17">
      <c r="A17" s="4" t="inlineStr">
        <is>
          <t>D&amp;A</t>
        </is>
      </c>
      <c r="B17" s="5">
        <f>-B15*$B$7</f>
        <v/>
      </c>
      <c r="C17" s="5">
        <f>-C15*$B$7</f>
        <v/>
      </c>
      <c r="D17" s="5">
        <f>-D15*$B$7</f>
        <v/>
      </c>
      <c r="E17" s="5">
        <f>-E15*$B$7</f>
        <v/>
      </c>
      <c r="F17" s="5">
        <f>-F15*$B$7</f>
        <v/>
      </c>
    </row>
    <row r="18">
      <c r="A18" s="4" t="inlineStr">
        <is>
          <t>EBIT</t>
        </is>
      </c>
      <c r="B18" s="5">
        <f>B16+B17</f>
        <v/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</row>
    <row r="19">
      <c r="A19" s="4" t="inlineStr">
        <is>
          <t>Tax</t>
        </is>
      </c>
      <c r="B19" s="5">
        <f>-B18*(1-$B$9)</f>
        <v/>
      </c>
      <c r="C19" s="5">
        <f>-C18*(1-$B$9)</f>
        <v/>
      </c>
      <c r="D19" s="5">
        <f>-D18*(1-$B$9)</f>
        <v/>
      </c>
      <c r="E19" s="5">
        <f>-E18*(1-$B$9)</f>
        <v/>
      </c>
      <c r="F19" s="5">
        <f>-F18*(1-$B$9)</f>
        <v/>
      </c>
    </row>
    <row r="20">
      <c r="A20" s="4" t="inlineStr">
        <is>
          <t>Add D&amp;A</t>
        </is>
      </c>
      <c r="B20" s="5">
        <f>-B17</f>
        <v/>
      </c>
      <c r="C20" s="5">
        <f>-C17</f>
        <v/>
      </c>
      <c r="D20" s="5">
        <f>-D17</f>
        <v/>
      </c>
      <c r="E20" s="5">
        <f>-E17</f>
        <v/>
      </c>
      <c r="F20" s="5">
        <f>-F17</f>
        <v/>
      </c>
    </row>
    <row r="21">
      <c r="A21" s="4" t="inlineStr">
        <is>
          <t>Capex</t>
        </is>
      </c>
      <c r="B21" s="5">
        <f>-B15*$B$8</f>
        <v/>
      </c>
      <c r="C21" s="5">
        <f>-C15*$B$8</f>
        <v/>
      </c>
      <c r="D21" s="5">
        <f>-D15*$B$8</f>
        <v/>
      </c>
      <c r="E21" s="5">
        <f>-E15*$B$8</f>
        <v/>
      </c>
      <c r="F21" s="5">
        <f>-F15*$B$8</f>
        <v/>
      </c>
    </row>
    <row r="22">
      <c r="A22" s="10" t="inlineStr">
        <is>
          <t>FCF</t>
        </is>
      </c>
      <c r="B22" s="5">
        <f>SUM(B16:B22)</f>
        <v/>
      </c>
      <c r="C22" s="5">
        <f>SUM(C16:C22)</f>
        <v/>
      </c>
      <c r="D22" s="5">
        <f>SUM(D16:D22)</f>
        <v/>
      </c>
      <c r="E22" s="5">
        <f>SUM(E16:E22)</f>
        <v/>
      </c>
      <c r="F22" s="5">
        <f>SUM(F16:F22)</f>
        <v/>
      </c>
    </row>
    <row r="23">
      <c r="A23" s="4" t="inlineStr">
        <is>
          <t>Disc</t>
        </is>
      </c>
      <c r="B23" s="5">
        <f>1/(1+$B$10)^1</f>
        <v/>
      </c>
      <c r="C23" s="5">
        <f>1/(1+$B$10)^2</f>
        <v/>
      </c>
      <c r="D23" s="5">
        <f>1/(1+$B$10)^3</f>
        <v/>
      </c>
      <c r="E23" s="5">
        <f>1/(1+$B$10)^4</f>
        <v/>
      </c>
      <c r="F23" s="5">
        <f>1/(1+$B$10)^5</f>
        <v/>
      </c>
    </row>
    <row r="24">
      <c r="A24" s="4" t="inlineStr">
        <is>
          <t>PV FCF</t>
        </is>
      </c>
      <c r="B24" s="5">
        <f>B23*B24</f>
        <v/>
      </c>
      <c r="C24" s="5">
        <f>C23*C24</f>
        <v/>
      </c>
      <c r="D24" s="5">
        <f>D23*D24</f>
        <v/>
      </c>
      <c r="E24" s="5">
        <f>E23*E24</f>
        <v/>
      </c>
      <c r="F24" s="5">
        <f>F23*F24</f>
        <v/>
      </c>
    </row>
    <row r="26">
      <c r="A26" s="20" t="inlineStr">
        <is>
          <t>Valuation</t>
        </is>
      </c>
    </row>
    <row r="27">
      <c r="A27" s="4" t="inlineStr">
        <is>
          <t>PV FCFs</t>
        </is>
      </c>
      <c r="B27" s="5">
        <f>SUM(B25:F25)</f>
        <v/>
      </c>
    </row>
    <row r="28">
      <c r="A28" s="4" t="inlineStr">
        <is>
          <t>TV</t>
        </is>
      </c>
      <c r="B28" s="5">
        <f>F23*(1+$B$11)/($B$10-$B$11)</f>
        <v/>
      </c>
    </row>
    <row r="29">
      <c r="A29" s="4" t="inlineStr">
        <is>
          <t>PV TV</t>
        </is>
      </c>
      <c r="B29" s="5">
        <f>B28/(1+$B$10)^5</f>
        <v/>
      </c>
    </row>
    <row r="30">
      <c r="A30" s="10" t="inlineStr">
        <is>
          <t>EV</t>
        </is>
      </c>
      <c r="B30" s="5">
        <f>B27+B29</f>
        <v/>
      </c>
    </row>
    <row r="31">
      <c r="A31" s="4" t="inlineStr">
        <is>
          <t>Net Debt</t>
        </is>
      </c>
      <c r="B31" s="5" t="n">
        <v>-16800</v>
      </c>
    </row>
    <row r="32">
      <c r="A32" s="10" t="inlineStr">
        <is>
          <t>Equity Value</t>
        </is>
      </c>
      <c r="B32" s="5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
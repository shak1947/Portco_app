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aS Metrics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DC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;&quot;-&quot;"/>
    <numFmt numFmtId="165" formatCode="0.0%"/>
    <numFmt numFmtId="166" formatCode="0.0"/>
    <numFmt numFmtId="167" formatCode="0.0x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0070C0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sz val="10"/>
    </font>
    <font>
      <name val="Arial"/>
      <color rgb="00595959"/>
      <sz val="10"/>
    </font>
    <font>
      <name val="Arial"/>
      <color rgb="00000000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color rgb="002E75B6"/>
      <sz val="10"/>
    </font>
  </fonts>
  <fills count="6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164" fontId="5" fillId="3" borderId="0" applyAlignment="1" pivotButton="0" quotePrefix="0" xfId="0">
      <alignment horizontal="right"/>
    </xf>
    <xf numFmtId="165" fontId="5" fillId="3" borderId="0" applyAlignment="1" pivotButton="0" quotePrefix="0" xfId="0">
      <alignment horizontal="right"/>
    </xf>
    <xf numFmtId="0" fontId="6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right"/>
    </xf>
    <xf numFmtId="165" fontId="5" fillId="0" borderId="0" applyAlignment="1" pivotButton="0" quotePrefix="0" xfId="0">
      <alignment horizontal="right"/>
    </xf>
    <xf numFmtId="0" fontId="6" fillId="3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166" fontId="5" fillId="3" borderId="0" applyAlignment="1" pivotButton="0" quotePrefix="0" xfId="0">
      <alignment horizontal="right"/>
    </xf>
    <xf numFmtId="166" fontId="5" fillId="0" borderId="0" applyAlignment="1" pivotButton="0" quotePrefix="0" xfId="0">
      <alignment horizontal="right"/>
    </xf>
    <xf numFmtId="167" fontId="5" fillId="3" borderId="0" applyAlignment="1" pivotButton="0" quotePrefix="0" xfId="0">
      <alignment horizontal="right"/>
    </xf>
    <xf numFmtId="167" fontId="5" fillId="0" borderId="0" applyAlignment="1" pivotButton="0" quotePrefix="0" xfId="0">
      <alignment horizontal="right"/>
    </xf>
    <xf numFmtId="0" fontId="8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164" fontId="9" fillId="3" borderId="0" applyAlignment="1" pivotButton="0" quotePrefix="0" xfId="0">
      <alignment horizontal="right"/>
    </xf>
    <xf numFmtId="164" fontId="9" fillId="0" borderId="0" applyAlignment="1" pivotButton="0" quotePrefix="0" xfId="0">
      <alignment horizontal="right"/>
    </xf>
    <xf numFmtId="0" fontId="4" fillId="4" borderId="0" applyAlignment="1" pivotButton="0" quotePrefix="0" xfId="0">
      <alignment horizontal="left" vertical="center"/>
    </xf>
    <xf numFmtId="165" fontId="10" fillId="0" borderId="0" applyAlignment="1" pivotButton="0" quotePrefix="0" xfId="0">
      <alignment horizontal="right"/>
    </xf>
    <xf numFmtId="0" fontId="4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</cols>
  <sheetData>
    <row r="1">
      <c r="A1" s="1" t="inlineStr">
        <is>
          <t>CloudSync SaaS Platform</t>
        </is>
      </c>
    </row>
    <row r="2">
      <c r="A2" s="2" t="inlineStr">
        <is>
          <t>Investor Update — Q1 2025 | Confidential</t>
        </is>
      </c>
    </row>
    <row r="4">
      <c r="A4" s="3" t="inlineStr">
        <is>
          <t>ARR &amp; GROWTH METRICS</t>
        </is>
      </c>
    </row>
    <row r="5">
      <c r="A5" s="4" t="inlineStr">
        <is>
          <t>Metric</t>
        </is>
      </c>
      <c r="B5" s="4" t="inlineStr">
        <is>
          <t>Q1'24</t>
        </is>
      </c>
      <c r="C5" s="4" t="inlineStr">
        <is>
          <t>Q2'24</t>
        </is>
      </c>
      <c r="D5" s="4" t="inlineStr">
        <is>
          <t>Q3'24</t>
        </is>
      </c>
      <c r="E5" s="4" t="inlineStr">
        <is>
          <t>Q4'24</t>
        </is>
      </c>
      <c r="F5" s="4" t="inlineStr">
        <is>
          <t>Q1'25</t>
        </is>
      </c>
      <c r="G5" s="4" t="inlineStr">
        <is>
          <t>QoQ</t>
        </is>
      </c>
    </row>
    <row r="6">
      <c r="A6" s="5" t="inlineStr">
        <is>
          <t>ARR ($000s)</t>
        </is>
      </c>
      <c r="B6" s="6" t="n">
        <v>28400</v>
      </c>
      <c r="C6" s="6" t="n">
        <v>31200</v>
      </c>
      <c r="D6" s="6" t="n">
        <v>34100</v>
      </c>
      <c r="E6" s="6" t="n">
        <v>37800</v>
      </c>
      <c r="F6" s="6" t="n">
        <v>41200</v>
      </c>
      <c r="G6" s="7">
        <f>(G6-F6)/F6</f>
        <v/>
      </c>
    </row>
    <row r="7">
      <c r="A7" s="8" t="inlineStr">
        <is>
          <t xml:space="preserve">  New ARR Added</t>
        </is>
      </c>
      <c r="B7" s="9" t="n">
        <v>2100</v>
      </c>
      <c r="C7" s="9" t="n">
        <v>2500</v>
      </c>
      <c r="D7" s="9" t="n">
        <v>2700</v>
      </c>
      <c r="E7" s="9" t="n">
        <v>3400</v>
      </c>
      <c r="F7" s="9" t="n">
        <v>3200</v>
      </c>
      <c r="G7" s="10">
        <f>(G7-F7)/F7</f>
        <v/>
      </c>
    </row>
    <row r="8">
      <c r="A8" s="11" t="inlineStr">
        <is>
          <t xml:space="preserve">  Expansion ARR</t>
        </is>
      </c>
      <c r="B8" s="6" t="n">
        <v>800</v>
      </c>
      <c r="C8" s="6" t="n">
        <v>900</v>
      </c>
      <c r="D8" s="6" t="n">
        <v>950</v>
      </c>
      <c r="E8" s="6" t="n">
        <v>1100</v>
      </c>
      <c r="F8" s="6" t="n">
        <v>1050</v>
      </c>
      <c r="G8" s="7" t="inlineStr"/>
    </row>
    <row r="9">
      <c r="A9" s="8" t="inlineStr">
        <is>
          <t xml:space="preserve">  Churned ARR</t>
        </is>
      </c>
      <c r="B9" s="9" t="n">
        <v>-480</v>
      </c>
      <c r="C9" s="9" t="n">
        <v>-500</v>
      </c>
      <c r="D9" s="9" t="n">
        <v>-450</v>
      </c>
      <c r="E9" s="9" t="n">
        <v>-400</v>
      </c>
      <c r="F9" s="9" t="n">
        <v>-380</v>
      </c>
      <c r="G9" s="10" t="inlineStr"/>
    </row>
    <row r="10">
      <c r="A10" s="5" t="inlineStr">
        <is>
          <t>MRR ($000s)</t>
        </is>
      </c>
      <c r="B10" s="6" t="n">
        <v>2367</v>
      </c>
      <c r="C10" s="6" t="n">
        <v>2600</v>
      </c>
      <c r="D10" s="6" t="n">
        <v>2842</v>
      </c>
      <c r="E10" s="6" t="n">
        <v>3150</v>
      </c>
      <c r="F10" s="6" t="n">
        <v>3433</v>
      </c>
      <c r="G10" s="7">
        <f>(G10-F10)/F10</f>
        <v/>
      </c>
    </row>
    <row r="11">
      <c r="A11" s="12" t="inlineStr">
        <is>
          <t>Net Revenue Retention (NRR) %</t>
        </is>
      </c>
      <c r="B11" s="10" t="n">
        <v>0.116</v>
      </c>
      <c r="C11" s="10" t="n">
        <v>0.118</v>
      </c>
      <c r="D11" s="10" t="n">
        <v>0.121</v>
      </c>
      <c r="E11" s="10" t="n">
        <v>0.124</v>
      </c>
      <c r="F11" s="10" t="n">
        <v>0.125</v>
      </c>
      <c r="G11" s="10" t="inlineStr"/>
    </row>
    <row r="12">
      <c r="A12" s="13" t="inlineStr">
        <is>
          <t>Gross Revenue Retention %</t>
        </is>
      </c>
      <c r="B12" s="7" t="n">
        <v>0.9409999999999999</v>
      </c>
      <c r="C12" s="7" t="n">
        <v>0.944</v>
      </c>
      <c r="D12" s="7" t="n">
        <v>0.948</v>
      </c>
      <c r="E12" s="7" t="n">
        <v>0.952</v>
      </c>
      <c r="F12" s="7" t="n">
        <v>0.953</v>
      </c>
      <c r="G12" s="7" t="inlineStr"/>
    </row>
    <row r="13">
      <c r="A13" s="12" t="inlineStr">
        <is>
          <t>Logo Count</t>
        </is>
      </c>
      <c r="B13" s="9" t="n">
        <v>312</v>
      </c>
      <c r="C13" s="9" t="n">
        <v>341</v>
      </c>
      <c r="D13" s="9" t="n">
        <v>372</v>
      </c>
      <c r="E13" s="9" t="n">
        <v>408</v>
      </c>
      <c r="F13" s="9" t="n">
        <v>441</v>
      </c>
      <c r="G13" s="10">
        <f>(G13-F13)/F13</f>
        <v/>
      </c>
    </row>
    <row r="14">
      <c r="A14" s="13" t="inlineStr">
        <is>
          <t>Avg ARR per Customer ($000s)</t>
        </is>
      </c>
      <c r="B14" s="6">
        <f>B6/B13</f>
        <v/>
      </c>
      <c r="C14" s="6">
        <f>C6/C13</f>
        <v/>
      </c>
      <c r="D14" s="6">
        <f>D6/D13</f>
        <v/>
      </c>
      <c r="E14" s="6">
        <f>E6/E13</f>
        <v/>
      </c>
      <c r="F14" s="6">
        <f>F6/F13</f>
        <v/>
      </c>
      <c r="G14" s="7" t="inlineStr"/>
    </row>
    <row r="16">
      <c r="A16" s="3" t="inlineStr">
        <is>
          <t>UNIT ECONOMICS</t>
        </is>
      </c>
    </row>
    <row r="17">
      <c r="A17" s="4" t="inlineStr">
        <is>
          <t>Metric</t>
        </is>
      </c>
      <c r="B17" s="4" t="inlineStr">
        <is>
          <t>Q1'24</t>
        </is>
      </c>
      <c r="C17" s="4" t="inlineStr">
        <is>
          <t>Q2'24</t>
        </is>
      </c>
      <c r="D17" s="4" t="inlineStr">
        <is>
          <t>Q3'24</t>
        </is>
      </c>
      <c r="E17" s="4" t="inlineStr">
        <is>
          <t>Q4'24</t>
        </is>
      </c>
      <c r="F17" s="4" t="inlineStr">
        <is>
          <t>Q1'25</t>
        </is>
      </c>
      <c r="G17" s="4" t="inlineStr">
        <is>
          <t>QoQ</t>
        </is>
      </c>
    </row>
    <row r="18">
      <c r="A18" s="12" t="inlineStr">
        <is>
          <t>CAC (blended) ($000s)</t>
        </is>
      </c>
      <c r="B18" s="14" t="n">
        <v>8.199999999999999</v>
      </c>
      <c r="C18" s="14" t="n">
        <v>7.9</v>
      </c>
      <c r="D18" s="14" t="n">
        <v>7.6</v>
      </c>
      <c r="E18" s="14" t="n">
        <v>7.4</v>
      </c>
      <c r="F18" s="14" t="n">
        <v>7.1</v>
      </c>
      <c r="G18" s="7">
        <f>(G18-F18)/F18</f>
        <v/>
      </c>
    </row>
    <row r="19">
      <c r="A19" s="12" t="inlineStr">
        <is>
          <t>LTV ($000s)</t>
        </is>
      </c>
      <c r="B19" s="15" t="n">
        <v>94.09999999999999</v>
      </c>
      <c r="C19" s="15" t="n">
        <v>97.3</v>
      </c>
      <c r="D19" s="15" t="n">
        <v>101.2</v>
      </c>
      <c r="E19" s="15" t="n">
        <v>106.8</v>
      </c>
      <c r="F19" s="15" t="n">
        <v>112.4</v>
      </c>
      <c r="G19" s="10">
        <f>(G19-F19)/F19</f>
        <v/>
      </c>
    </row>
    <row r="20">
      <c r="A20" s="12" t="inlineStr">
        <is>
          <t>LTV/CAC Ratio</t>
        </is>
      </c>
      <c r="B20" s="16">
        <f>B19/B18</f>
        <v/>
      </c>
      <c r="C20" s="16">
        <f>C19/C18</f>
        <v/>
      </c>
      <c r="D20" s="16">
        <f>D19/D18</f>
        <v/>
      </c>
      <c r="E20" s="16">
        <f>E19/E18</f>
        <v/>
      </c>
      <c r="F20" s="16">
        <f>F19/F18</f>
        <v/>
      </c>
      <c r="G20" s="16" t="inlineStr"/>
    </row>
    <row r="21">
      <c r="A21" s="12" t="inlineStr">
        <is>
          <t>CAC Payback (months)</t>
        </is>
      </c>
      <c r="B21" s="15" t="n">
        <v>18</v>
      </c>
      <c r="C21" s="15" t="n">
        <v>17</v>
      </c>
      <c r="D21" s="15" t="n">
        <v>16</v>
      </c>
      <c r="E21" s="15" t="n">
        <v>15</v>
      </c>
      <c r="F21" s="15" t="n">
        <v>14</v>
      </c>
      <c r="G21" s="10" t="inlineStr"/>
    </row>
    <row r="22">
      <c r="A22" s="12" t="inlineStr">
        <is>
          <t>Gross Margin %</t>
        </is>
      </c>
      <c r="B22" s="7" t="n">
        <v>0.724</v>
      </c>
      <c r="C22" s="7" t="n">
        <v>0.731</v>
      </c>
      <c r="D22" s="7" t="n">
        <v>0.738</v>
      </c>
      <c r="E22" s="7" t="n">
        <v>0.743</v>
      </c>
      <c r="F22" s="7" t="n">
        <v>0.749</v>
      </c>
      <c r="G22" s="7" t="inlineStr"/>
    </row>
    <row r="23">
      <c r="A23" s="12" t="inlineStr">
        <is>
          <t>Sales Efficiency Ratio</t>
        </is>
      </c>
      <c r="B23" s="17" t="n">
        <v>0.8100000000000001</v>
      </c>
      <c r="C23" s="17" t="n">
        <v>0.86</v>
      </c>
      <c r="D23" s="17" t="n">
        <v>0.91</v>
      </c>
      <c r="E23" s="17" t="n">
        <v>0.98</v>
      </c>
      <c r="F23" s="17" t="n">
        <v>1.02</v>
      </c>
      <c r="G23" s="17" t="inlineStr"/>
    </row>
  </sheetData>
  <mergeCells count="4">
    <mergeCell ref="A16:G16"/>
    <mergeCell ref="A2:G2"/>
    <mergeCell ref="A1:G1"/>
    <mergeCell ref="A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8" t="inlineStr">
        <is>
          <t>CloudSync — P&amp;L Summary</t>
        </is>
      </c>
    </row>
    <row r="3">
      <c r="A3" s="4" t="inlineStr"/>
      <c r="B3" s="4" t="inlineStr">
        <is>
          <t>FY2022A</t>
        </is>
      </c>
      <c r="C3" s="4" t="inlineStr">
        <is>
          <t>FY2023A</t>
        </is>
      </c>
      <c r="D3" s="4" t="inlineStr">
        <is>
          <t>FY2024A</t>
        </is>
      </c>
      <c r="E3" s="4" t="inlineStr">
        <is>
          <t>FY2025E</t>
        </is>
      </c>
      <c r="F3" s="4" t="inlineStr">
        <is>
          <t>FY2026E</t>
        </is>
      </c>
      <c r="G3" s="4" t="inlineStr">
        <is>
          <t>FY2027E</t>
        </is>
      </c>
    </row>
    <row r="4">
      <c r="A4" s="19" t="inlineStr">
        <is>
          <t>Total Revenue ($000s)</t>
        </is>
      </c>
      <c r="B4" s="20" t="n">
        <v>18200</v>
      </c>
      <c r="C4" s="20" t="n">
        <v>24100</v>
      </c>
      <c r="D4" s="20" t="n">
        <v>35800</v>
      </c>
      <c r="E4" s="20" t="n">
        <v>48600</v>
      </c>
      <c r="F4" s="20" t="n">
        <v>64200</v>
      </c>
      <c r="G4" s="20" t="n">
        <v>83100</v>
      </c>
    </row>
    <row r="5">
      <c r="A5" s="8" t="inlineStr">
        <is>
          <t xml:space="preserve">  Subscription</t>
        </is>
      </c>
      <c r="B5" s="9" t="n">
        <v>16400</v>
      </c>
      <c r="C5" s="9" t="n">
        <v>21800</v>
      </c>
      <c r="D5" s="9" t="n">
        <v>32400</v>
      </c>
      <c r="E5" s="9" t="n">
        <v>44100</v>
      </c>
      <c r="F5" s="9" t="n">
        <v>58300</v>
      </c>
      <c r="G5" s="9" t="n">
        <v>75500</v>
      </c>
    </row>
    <row r="6">
      <c r="A6" s="8" t="inlineStr">
        <is>
          <t xml:space="preserve">  Professional Services</t>
        </is>
      </c>
      <c r="B6" s="6" t="n">
        <v>1800</v>
      </c>
      <c r="C6" s="6" t="n">
        <v>2300</v>
      </c>
      <c r="D6" s="6" t="n">
        <v>3400</v>
      </c>
      <c r="E6" s="6" t="n">
        <v>4500</v>
      </c>
      <c r="F6" s="6" t="n">
        <v>5900</v>
      </c>
      <c r="G6" s="6" t="n">
        <v>7600</v>
      </c>
    </row>
    <row r="7">
      <c r="A7" s="12" t="inlineStr">
        <is>
          <t>Cost of Revenue</t>
        </is>
      </c>
      <c r="B7" s="9" t="n">
        <v>5100</v>
      </c>
      <c r="C7" s="9" t="n">
        <v>6600</v>
      </c>
      <c r="D7" s="9" t="n">
        <v>9400</v>
      </c>
      <c r="E7" s="9" t="n">
        <v>12600</v>
      </c>
      <c r="F7" s="9" t="n">
        <v>16200</v>
      </c>
      <c r="G7" s="9" t="n">
        <v>20400</v>
      </c>
    </row>
    <row r="8">
      <c r="A8" s="19" t="inlineStr">
        <is>
          <t>Gross Profit</t>
        </is>
      </c>
      <c r="B8" s="20" t="n">
        <v>13100</v>
      </c>
      <c r="C8" s="20" t="n">
        <v>17500</v>
      </c>
      <c r="D8" s="20" t="n">
        <v>26400</v>
      </c>
      <c r="E8" s="20" t="n">
        <v>36000</v>
      </c>
      <c r="F8" s="20" t="n">
        <v>48000</v>
      </c>
      <c r="G8" s="20" t="n">
        <v>62700</v>
      </c>
    </row>
    <row r="9">
      <c r="A9" s="12" t="inlineStr">
        <is>
          <t>Gross Margin %</t>
        </is>
      </c>
      <c r="B9" s="10">
        <f>C5/C4</f>
        <v/>
      </c>
      <c r="C9" s="10">
        <f>D5/D4</f>
        <v/>
      </c>
      <c r="D9" s="10">
        <f>E5/E4</f>
        <v/>
      </c>
      <c r="E9" s="10">
        <f>F5/F4</f>
        <v/>
      </c>
      <c r="F9" s="10">
        <f>G5/G4</f>
        <v/>
      </c>
      <c r="G9" s="10">
        <f>H5/H4</f>
        <v/>
      </c>
    </row>
    <row r="10">
      <c r="A10" s="12" t="inlineStr">
        <is>
          <t>R&amp;D</t>
        </is>
      </c>
      <c r="B10" s="6" t="n">
        <v>4800</v>
      </c>
      <c r="C10" s="6" t="n">
        <v>6100</v>
      </c>
      <c r="D10" s="6" t="n">
        <v>8900</v>
      </c>
      <c r="E10" s="6" t="n">
        <v>11600</v>
      </c>
      <c r="F10" s="6" t="n">
        <v>14800</v>
      </c>
      <c r="G10" s="6" t="n">
        <v>18500</v>
      </c>
    </row>
    <row r="11">
      <c r="A11" s="12" t="inlineStr">
        <is>
          <t>S&amp;M</t>
        </is>
      </c>
      <c r="B11" s="9" t="n">
        <v>6200</v>
      </c>
      <c r="C11" s="9" t="n">
        <v>7900</v>
      </c>
      <c r="D11" s="9" t="n">
        <v>11200</v>
      </c>
      <c r="E11" s="9" t="n">
        <v>14400</v>
      </c>
      <c r="F11" s="9" t="n">
        <v>17900</v>
      </c>
      <c r="G11" s="9" t="n">
        <v>21800</v>
      </c>
    </row>
    <row r="12">
      <c r="A12" s="12" t="inlineStr">
        <is>
          <t>G&amp;A</t>
        </is>
      </c>
      <c r="B12" s="6" t="n">
        <v>2100</v>
      </c>
      <c r="C12" s="6" t="n">
        <v>2600</v>
      </c>
      <c r="D12" s="6" t="n">
        <v>3700</v>
      </c>
      <c r="E12" s="6" t="n">
        <v>4800</v>
      </c>
      <c r="F12" s="6" t="n">
        <v>6000</v>
      </c>
      <c r="G12" s="6" t="n">
        <v>7500</v>
      </c>
    </row>
    <row r="13">
      <c r="A13" s="12" t="inlineStr">
        <is>
          <t>Total OpEx</t>
        </is>
      </c>
      <c r="B13" s="9">
        <f>SUM(C8:C10)</f>
        <v/>
      </c>
      <c r="C13" s="9">
        <f>SUM(D8:D10)</f>
        <v/>
      </c>
      <c r="D13" s="9">
        <f>SUM(E8:E10)</f>
        <v/>
      </c>
      <c r="E13" s="9">
        <f>SUM(F8:F10)</f>
        <v/>
      </c>
      <c r="F13" s="9">
        <f>SUM(G8:G10)</f>
        <v/>
      </c>
      <c r="G13" s="9">
        <f>SUM(H8:H10)</f>
        <v/>
      </c>
    </row>
    <row r="14">
      <c r="A14" s="12" t="inlineStr">
        <is>
          <t>GAAP Operating Loss</t>
        </is>
      </c>
      <c r="B14" s="6">
        <f>C6-C11</f>
        <v/>
      </c>
      <c r="C14" s="6">
        <f>D6-D11</f>
        <v/>
      </c>
      <c r="D14" s="6">
        <f>E6-E11</f>
        <v/>
      </c>
      <c r="E14" s="6">
        <f>F6-F11</f>
        <v/>
      </c>
      <c r="F14" s="6">
        <f>G6-G11</f>
        <v/>
      </c>
      <c r="G14" s="6">
        <f>H6-H11</f>
        <v/>
      </c>
    </row>
    <row r="15">
      <c r="A15" s="12" t="inlineStr">
        <is>
          <t>Add: SBC</t>
        </is>
      </c>
      <c r="B15" s="9" t="n">
        <v>1800</v>
      </c>
      <c r="C15" s="9" t="n">
        <v>2200</v>
      </c>
      <c r="D15" s="9" t="n">
        <v>3100</v>
      </c>
      <c r="E15" s="9" t="n">
        <v>3900</v>
      </c>
      <c r="F15" s="9" t="n">
        <v>4800</v>
      </c>
      <c r="G15" s="9" t="n">
        <v>5900</v>
      </c>
    </row>
    <row r="16">
      <c r="A16" s="12" t="inlineStr">
        <is>
          <t>Add: D&amp;A</t>
        </is>
      </c>
      <c r="B16" s="6" t="n">
        <v>400</v>
      </c>
      <c r="C16" s="6" t="n">
        <v>500</v>
      </c>
      <c r="D16" s="6" t="n">
        <v>700</v>
      </c>
      <c r="E16" s="6" t="n">
        <v>900</v>
      </c>
      <c r="F16" s="6" t="n">
        <v>1100</v>
      </c>
      <c r="G16" s="6" t="n">
        <v>1400</v>
      </c>
    </row>
    <row r="17">
      <c r="A17" s="19" t="inlineStr">
        <is>
          <t>Cash EBITDA</t>
        </is>
      </c>
      <c r="B17" s="21">
        <f>C12+C13+C14</f>
        <v/>
      </c>
      <c r="C17" s="21">
        <f>D12+D13+D14</f>
        <v/>
      </c>
      <c r="D17" s="21">
        <f>E12+E13+E14</f>
        <v/>
      </c>
      <c r="E17" s="21">
        <f>F12+F13+F14</f>
        <v/>
      </c>
      <c r="F17" s="21">
        <f>G12+G13+G14</f>
        <v/>
      </c>
      <c r="G17" s="21">
        <f>H12+H13+H14</f>
        <v/>
      </c>
    </row>
    <row r="18">
      <c r="A18" s="12" t="inlineStr">
        <is>
          <t>Cash EBITDA Margin %</t>
        </is>
      </c>
      <c r="B18" s="7">
        <f>C15/C4</f>
        <v/>
      </c>
      <c r="C18" s="7">
        <f>D15/D4</f>
        <v/>
      </c>
      <c r="D18" s="7">
        <f>E15/E4</f>
        <v/>
      </c>
      <c r="E18" s="7">
        <f>F15/F4</f>
        <v/>
      </c>
      <c r="F18" s="7">
        <f>G15/G4</f>
        <v/>
      </c>
      <c r="G18" s="7">
        <f>H15/H4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8" t="inlineStr">
        <is>
          <t>CloudSync — DCF Valuation</t>
        </is>
      </c>
    </row>
    <row r="3">
      <c r="A3" s="22" t="inlineStr">
        <is>
          <t>Model Inputs</t>
        </is>
      </c>
    </row>
    <row r="4">
      <c r="A4" s="12" t="inlineStr">
        <is>
          <t>ARR Growth Yr 1-2</t>
        </is>
      </c>
      <c r="B4" s="23" t="n">
        <v>0.32</v>
      </c>
    </row>
    <row r="5">
      <c r="A5" s="12" t="inlineStr">
        <is>
          <t>ARR Growth Yr 3-4</t>
        </is>
      </c>
      <c r="B5" s="23" t="n">
        <v>0.24</v>
      </c>
    </row>
    <row r="6">
      <c r="A6" s="12" t="inlineStr">
        <is>
          <t>ARR Growth Yr 5</t>
        </is>
      </c>
      <c r="B6" s="23" t="n">
        <v>0.18</v>
      </c>
    </row>
    <row r="7">
      <c r="A7" s="12" t="inlineStr">
        <is>
          <t>Terminal Growth Rate</t>
        </is>
      </c>
      <c r="B7" s="23" t="n">
        <v>0.04</v>
      </c>
    </row>
    <row r="8">
      <c r="A8" s="12" t="inlineStr">
        <is>
          <t>Cash EBITDA Margin (term)</t>
        </is>
      </c>
      <c r="B8" s="23" t="n">
        <v>0.28</v>
      </c>
    </row>
    <row r="9">
      <c r="A9" s="12" t="inlineStr">
        <is>
          <t>D&amp;A % Revenue</t>
        </is>
      </c>
      <c r="B9" s="23" t="n">
        <v>0.02</v>
      </c>
    </row>
    <row r="10">
      <c r="A10" s="12" t="inlineStr">
        <is>
          <t>Capex % Revenue</t>
        </is>
      </c>
      <c r="B10" s="23" t="n">
        <v>0.015</v>
      </c>
    </row>
    <row r="11">
      <c r="A11" s="12" t="inlineStr">
        <is>
          <t>WACC</t>
        </is>
      </c>
      <c r="B11" s="23" t="n">
        <v>0.13</v>
      </c>
    </row>
    <row r="12">
      <c r="A12" s="12" t="inlineStr">
        <is>
          <t>Tax Rate</t>
        </is>
      </c>
      <c r="B12" s="23" t="n">
        <v>0.25</v>
      </c>
    </row>
    <row r="15">
      <c r="A15" s="4" t="inlineStr"/>
      <c r="B15" s="4" t="inlineStr">
        <is>
          <t>2025E</t>
        </is>
      </c>
      <c r="C15" s="4" t="inlineStr">
        <is>
          <t>2026E</t>
        </is>
      </c>
      <c r="D15" s="4" t="inlineStr">
        <is>
          <t>2027E</t>
        </is>
      </c>
      <c r="E15" s="4" t="inlineStr">
        <is>
          <t>2028E</t>
        </is>
      </c>
      <c r="F15" s="4" t="inlineStr">
        <is>
          <t>2029E</t>
        </is>
      </c>
    </row>
    <row r="16">
      <c r="A16" s="12" t="inlineStr">
        <is>
          <t>Revenue</t>
        </is>
      </c>
      <c r="B16" s="9">
        <f>48600*(1+$B$4)</f>
        <v/>
      </c>
      <c r="C16" s="9">
        <f>B16*(1+$B$4)</f>
        <v/>
      </c>
      <c r="D16" s="9">
        <f>C16*(1+$B$5)</f>
        <v/>
      </c>
      <c r="E16" s="9">
        <f>D16*(1+$B$5)</f>
        <v/>
      </c>
      <c r="F16" s="9">
        <f>E16*(1+$B$6)</f>
        <v/>
      </c>
    </row>
    <row r="17">
      <c r="A17" s="12" t="inlineStr">
        <is>
          <t>Cash EBITDA</t>
        </is>
      </c>
      <c r="B17" s="9">
        <f>B16*$B$8</f>
        <v/>
      </c>
      <c r="C17" s="9">
        <f>C16*$B$8</f>
        <v/>
      </c>
      <c r="D17" s="9">
        <f>D16*$B$8</f>
        <v/>
      </c>
      <c r="E17" s="9">
        <f>E16*$B$8</f>
        <v/>
      </c>
      <c r="F17" s="9">
        <f>F16*$B$8</f>
        <v/>
      </c>
    </row>
    <row r="18">
      <c r="A18" s="12" t="inlineStr">
        <is>
          <t>Less: D&amp;A</t>
        </is>
      </c>
      <c r="B18" s="9">
        <f>-B16*$B$10</f>
        <v/>
      </c>
      <c r="C18" s="9">
        <f>-C16*$B$10</f>
        <v/>
      </c>
      <c r="D18" s="9">
        <f>-D16*$B$10</f>
        <v/>
      </c>
      <c r="E18" s="9">
        <f>-E16*$B$10</f>
        <v/>
      </c>
      <c r="F18" s="9">
        <f>-F16*$B$10</f>
        <v/>
      </c>
    </row>
    <row r="19">
      <c r="A19" s="12" t="inlineStr">
        <is>
          <t>EBIT</t>
        </is>
      </c>
      <c r="B19" s="9">
        <f>B17+B18</f>
        <v/>
      </c>
      <c r="C19" s="9">
        <f>C17+C18</f>
        <v/>
      </c>
      <c r="D19" s="9">
        <f>D17+D18</f>
        <v/>
      </c>
      <c r="E19" s="9">
        <f>E17+E18</f>
        <v/>
      </c>
      <c r="F19" s="9">
        <f>F17+F18</f>
        <v/>
      </c>
    </row>
    <row r="20">
      <c r="A20" s="12" t="inlineStr">
        <is>
          <t>Tax</t>
        </is>
      </c>
      <c r="B20" s="9">
        <f>-B19*(1-$B$12)</f>
        <v/>
      </c>
      <c r="C20" s="9">
        <f>-C19*(1-$B$12)</f>
        <v/>
      </c>
      <c r="D20" s="9">
        <f>-D19*(1-$B$12)</f>
        <v/>
      </c>
      <c r="E20" s="9">
        <f>-E19*(1-$B$12)</f>
        <v/>
      </c>
      <c r="F20" s="9">
        <f>-F19*(1-$B$12)</f>
        <v/>
      </c>
    </row>
    <row r="21">
      <c r="A21" s="12" t="inlineStr">
        <is>
          <t>Add: D&amp;A</t>
        </is>
      </c>
      <c r="B21" s="9">
        <f>-B18</f>
        <v/>
      </c>
      <c r="C21" s="9">
        <f>-C18</f>
        <v/>
      </c>
      <c r="D21" s="9">
        <f>-D18</f>
        <v/>
      </c>
      <c r="E21" s="9">
        <f>-E18</f>
        <v/>
      </c>
      <c r="F21" s="9">
        <f>-F18</f>
        <v/>
      </c>
    </row>
    <row r="22">
      <c r="A22" s="12" t="inlineStr">
        <is>
          <t>Capex</t>
        </is>
      </c>
      <c r="B22" s="9">
        <f>-B16*$B$11</f>
        <v/>
      </c>
      <c r="C22" s="9">
        <f>-C16*$B$11</f>
        <v/>
      </c>
      <c r="D22" s="9">
        <f>-D16*$B$11</f>
        <v/>
      </c>
      <c r="E22" s="9">
        <f>-E16*$B$11</f>
        <v/>
      </c>
      <c r="F22" s="9">
        <f>-F16*$B$11</f>
        <v/>
      </c>
    </row>
    <row r="23">
      <c r="A23" s="19" t="inlineStr">
        <is>
          <t>FCF</t>
        </is>
      </c>
      <c r="B23" s="9">
        <f>SUM(B17:B23)</f>
        <v/>
      </c>
      <c r="C23" s="9">
        <f>SUM(C17:C23)</f>
        <v/>
      </c>
      <c r="D23" s="9">
        <f>SUM(D17:D23)</f>
        <v/>
      </c>
      <c r="E23" s="9">
        <f>SUM(E17:E23)</f>
        <v/>
      </c>
      <c r="F23" s="9">
        <f>SUM(F17:F23)</f>
        <v/>
      </c>
    </row>
    <row r="24">
      <c r="A24" s="12" t="inlineStr">
        <is>
          <t>Discount Factor</t>
        </is>
      </c>
      <c r="B24" s="9">
        <f>1/(1+$B$11)^1</f>
        <v/>
      </c>
      <c r="C24" s="9">
        <f>1/(1+$B$11)^2</f>
        <v/>
      </c>
      <c r="D24" s="9">
        <f>1/(1+$B$11)^3</f>
        <v/>
      </c>
      <c r="E24" s="9">
        <f>1/(1+$B$11)^4</f>
        <v/>
      </c>
      <c r="F24" s="9">
        <f>1/(1+$B$11)^5</f>
        <v/>
      </c>
    </row>
    <row r="25">
      <c r="A25" s="12" t="inlineStr">
        <is>
          <t>PV FCF</t>
        </is>
      </c>
      <c r="B25" s="9">
        <f>B23*B24</f>
        <v/>
      </c>
      <c r="C25" s="9">
        <f>C23*C24</f>
        <v/>
      </c>
      <c r="D25" s="9">
        <f>D23*D24</f>
        <v/>
      </c>
      <c r="E25" s="9">
        <f>E23*E24</f>
        <v/>
      </c>
      <c r="F25" s="9">
        <f>F23*F24</f>
        <v/>
      </c>
    </row>
    <row r="27">
      <c r="A27" s="24" t="inlineStr">
        <is>
          <t>Valuation</t>
        </is>
      </c>
    </row>
    <row r="28">
      <c r="A28" s="12" t="inlineStr">
        <is>
          <t>PV FCFs</t>
        </is>
      </c>
      <c r="B28" s="9">
        <f>SUM(B25:F25)</f>
        <v/>
      </c>
    </row>
    <row r="29">
      <c r="A29" s="12" t="inlineStr">
        <is>
          <t>Terminal Value</t>
        </is>
      </c>
      <c r="B29" s="9">
        <f>F23*(1+$B$7)/($B$11-$B$7)</f>
        <v/>
      </c>
    </row>
    <row r="30">
      <c r="A30" s="12" t="inlineStr">
        <is>
          <t>PV Terminal Value</t>
        </is>
      </c>
      <c r="B30" s="9">
        <f>B29/(1+$B$11)^5</f>
        <v/>
      </c>
    </row>
    <row r="31">
      <c r="A31" s="19" t="inlineStr">
        <is>
          <t>Enterprise Value</t>
        </is>
      </c>
      <c r="B31" s="21">
        <f>B28+B30</f>
        <v/>
      </c>
    </row>
    <row r="32">
      <c r="A32" s="12" t="inlineStr">
        <is>
          <t>Cash &amp; Equivalents</t>
        </is>
      </c>
      <c r="B32" s="9" t="n">
        <v>6200</v>
      </c>
    </row>
    <row r="33">
      <c r="A33" s="19" t="inlineStr">
        <is>
          <t>Equity Value</t>
        </is>
      </c>
      <c r="B33" s="21">
        <f>B31+B32</f>
        <v/>
      </c>
    </row>
    <row r="34">
      <c r="A34" s="12" t="inlineStr">
        <is>
          <t>ARR Multiple (NTM)</t>
        </is>
      </c>
      <c r="B34" s="17">
        <f>B31/F16</f>
        <v/>
      </c>
    </row>
  </sheetData>
  <mergeCells count="3">
    <mergeCell ref="A27:C27"/>
    <mergeCell ref="A3:B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2026-04-25T03:48:15Z</dcterms:created>
  <dcterms:modified xmlns:dcterms="http://purl.org/dc/terms/" xmlns:xsi="http://www.w3.org/2001/XMLSchema-instance" xsi:type="dcterms:W3CDTF">2026-04-25T03:48:15Z</dcterms:modified>
</cp:coreProperties>
</file>
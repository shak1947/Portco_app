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Category Mix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595959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165" fontId="7" fillId="3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NatFresh Food &amp; Beverage Distribution</t>
        </is>
      </c>
    </row>
    <row r="2">
      <c r="A2" s="2" t="inlineStr">
        <is>
          <t>Rolling 12-Month P&amp;L Tracker | All figures $000s</t>
        </is>
      </c>
    </row>
    <row r="4">
      <c r="A4" s="3" t="inlineStr">
        <is>
          <t>Line Item</t>
        </is>
      </c>
      <c r="B4" s="3" t="inlineStr">
        <is>
          <t>Jan'25</t>
        </is>
      </c>
      <c r="C4" s="3" t="inlineStr">
        <is>
          <t>Feb'25</t>
        </is>
      </c>
      <c r="D4" s="3" t="inlineStr">
        <is>
          <t>Mar'25</t>
        </is>
      </c>
      <c r="E4" s="3" t="inlineStr">
        <is>
          <t>Apr'25</t>
        </is>
      </c>
      <c r="F4" s="3" t="inlineStr">
        <is>
          <t>May'25</t>
        </is>
      </c>
      <c r="G4" s="3" t="inlineStr">
        <is>
          <t>Jun'25</t>
        </is>
      </c>
      <c r="H4" s="3" t="inlineStr">
        <is>
          <t>Jul'25</t>
        </is>
      </c>
      <c r="I4" s="3" t="inlineStr">
        <is>
          <t>Aug'25</t>
        </is>
      </c>
      <c r="J4" s="3" t="inlineStr">
        <is>
          <t>YTD Total</t>
        </is>
      </c>
    </row>
    <row r="5">
      <c r="A5" s="4" t="inlineStr">
        <is>
          <t>Gross Revenue</t>
        </is>
      </c>
      <c r="B5" s="5" t="n">
        <v>8200</v>
      </c>
      <c r="C5" s="5" t="n">
        <v>7900</v>
      </c>
      <c r="D5" s="5" t="n">
        <v>8600</v>
      </c>
      <c r="E5" s="5" t="n">
        <v>9100</v>
      </c>
      <c r="F5" s="5" t="n">
        <v>9800</v>
      </c>
      <c r="G5" s="5" t="n">
        <v>10200</v>
      </c>
      <c r="H5" s="5" t="n">
        <v>9600</v>
      </c>
      <c r="I5" s="5" t="n">
        <v>8800</v>
      </c>
      <c r="J5" s="5">
        <f>SUM(B5:I5)</f>
        <v/>
      </c>
    </row>
    <row r="6">
      <c r="A6" s="6" t="inlineStr">
        <is>
          <t xml:space="preserve">  Volume Rebates</t>
        </is>
      </c>
      <c r="B6" s="7" t="n">
        <v>-164</v>
      </c>
      <c r="C6" s="7" t="n">
        <v>-158</v>
      </c>
      <c r="D6" s="7" t="n">
        <v>-172</v>
      </c>
      <c r="E6" s="7" t="n">
        <v>-182</v>
      </c>
      <c r="F6" s="7" t="n">
        <v>-196</v>
      </c>
      <c r="G6" s="7" t="n">
        <v>-204</v>
      </c>
      <c r="H6" s="7" t="n">
        <v>-192</v>
      </c>
      <c r="I6" s="7" t="n">
        <v>-176</v>
      </c>
      <c r="J6" s="8">
        <f>SUM(B6:I6)</f>
        <v/>
      </c>
    </row>
    <row r="7">
      <c r="A7" s="4" t="inlineStr">
        <is>
          <t>Net Revenue</t>
        </is>
      </c>
      <c r="B7" s="5" t="n">
        <v>8036</v>
      </c>
      <c r="C7" s="5" t="n">
        <v>7742</v>
      </c>
      <c r="D7" s="5" t="n">
        <v>8428</v>
      </c>
      <c r="E7" s="5" t="n">
        <v>8918</v>
      </c>
      <c r="F7" s="5" t="n">
        <v>9604</v>
      </c>
      <c r="G7" s="5" t="n">
        <v>9996</v>
      </c>
      <c r="H7" s="5" t="n">
        <v>9408</v>
      </c>
      <c r="I7" s="5" t="n">
        <v>8624</v>
      </c>
      <c r="J7" s="5">
        <f>SUM(B7:I7)</f>
        <v/>
      </c>
    </row>
    <row r="8">
      <c r="A8" s="9" t="inlineStr">
        <is>
          <t>COGS</t>
        </is>
      </c>
      <c r="B8" s="7" t="n">
        <v>5904</v>
      </c>
      <c r="C8" s="7" t="n">
        <v>5688</v>
      </c>
      <c r="D8" s="7" t="n">
        <v>6192</v>
      </c>
      <c r="E8" s="7" t="n">
        <v>6552</v>
      </c>
      <c r="F8" s="7" t="n">
        <v>7056</v>
      </c>
      <c r="G8" s="7" t="n">
        <v>7344</v>
      </c>
      <c r="H8" s="7" t="n">
        <v>6912</v>
      </c>
      <c r="I8" s="7" t="n">
        <v>6336</v>
      </c>
      <c r="J8" s="8">
        <f>SUM(B8:I8)</f>
        <v/>
      </c>
    </row>
    <row r="9">
      <c r="A9" s="4" t="inlineStr">
        <is>
          <t>Gross Margin $</t>
        </is>
      </c>
      <c r="B9" s="5" t="n">
        <v>2296</v>
      </c>
      <c r="C9" s="5" t="n">
        <v>2212</v>
      </c>
      <c r="D9" s="5" t="n">
        <v>2408</v>
      </c>
      <c r="E9" s="5" t="n">
        <v>2548</v>
      </c>
      <c r="F9" s="5" t="n">
        <v>2744</v>
      </c>
      <c r="G9" s="5" t="n">
        <v>2856</v>
      </c>
      <c r="H9" s="5" t="n">
        <v>2688</v>
      </c>
      <c r="I9" s="5" t="n">
        <v>2464</v>
      </c>
      <c r="J9" s="5">
        <f>SUM(B9:I9)</f>
        <v/>
      </c>
    </row>
    <row r="10">
      <c r="A10" s="9" t="inlineStr">
        <is>
          <t>Gross Margin %</t>
        </is>
      </c>
      <c r="B10" s="10" t="n">
        <v>0.3</v>
      </c>
      <c r="C10" s="10" t="n">
        <v>0.3</v>
      </c>
      <c r="D10" s="10" t="n">
        <v>0.3</v>
      </c>
      <c r="E10" s="10" t="n">
        <v>0.3</v>
      </c>
      <c r="F10" s="10" t="n">
        <v>0.3</v>
      </c>
      <c r="G10" s="10" t="n">
        <v>0.3</v>
      </c>
      <c r="H10" s="10" t="n">
        <v>0.3</v>
      </c>
      <c r="I10" s="10" t="n">
        <v>0.3</v>
      </c>
      <c r="J10" s="11">
        <f>AVERAGE(B10:I10)</f>
        <v/>
      </c>
    </row>
    <row r="11">
      <c r="A11" s="9" t="inlineStr">
        <is>
          <t>SG&amp;A</t>
        </is>
      </c>
      <c r="B11" s="8" t="n">
        <v>1148</v>
      </c>
      <c r="C11" s="8" t="n">
        <v>1106</v>
      </c>
      <c r="D11" s="8" t="n">
        <v>1204</v>
      </c>
      <c r="E11" s="8" t="n">
        <v>1274</v>
      </c>
      <c r="F11" s="8" t="n">
        <v>1372</v>
      </c>
      <c r="G11" s="8" t="n">
        <v>1428</v>
      </c>
      <c r="H11" s="8" t="n">
        <v>1344</v>
      </c>
      <c r="I11" s="8" t="n">
        <v>1232</v>
      </c>
      <c r="J11" s="8">
        <f>SUM(B11:I11)</f>
        <v/>
      </c>
    </row>
    <row r="12">
      <c r="A12" s="9" t="inlineStr">
        <is>
          <t>Distribution Costs</t>
        </is>
      </c>
      <c r="B12" s="7" t="n">
        <v>328</v>
      </c>
      <c r="C12" s="7" t="n">
        <v>316</v>
      </c>
      <c r="D12" s="7" t="n">
        <v>344</v>
      </c>
      <c r="E12" s="7" t="n">
        <v>364</v>
      </c>
      <c r="F12" s="7" t="n">
        <v>392</v>
      </c>
      <c r="G12" s="7" t="n">
        <v>408</v>
      </c>
      <c r="H12" s="7" t="n">
        <v>384</v>
      </c>
      <c r="I12" s="7" t="n">
        <v>352</v>
      </c>
      <c r="J12" s="8">
        <f>SUM(B12:I12)</f>
        <v/>
      </c>
    </row>
    <row r="13">
      <c r="A13" s="4" t="inlineStr">
        <is>
          <t>EBITDA</t>
        </is>
      </c>
      <c r="B13" s="5" t="n">
        <v>820</v>
      </c>
      <c r="C13" s="5" t="n">
        <v>790</v>
      </c>
      <c r="D13" s="5" t="n">
        <v>860</v>
      </c>
      <c r="E13" s="5" t="n">
        <v>910</v>
      </c>
      <c r="F13" s="5" t="n">
        <v>980</v>
      </c>
      <c r="G13" s="5" t="n">
        <v>1020</v>
      </c>
      <c r="H13" s="5" t="n">
        <v>960</v>
      </c>
      <c r="I13" s="5" t="n">
        <v>880</v>
      </c>
      <c r="J13" s="5">
        <f>SUM(B13:I13)</f>
        <v/>
      </c>
    </row>
    <row r="14">
      <c r="A14" s="9" t="inlineStr">
        <is>
          <t>D&amp;A</t>
        </is>
      </c>
      <c r="B14" s="7" t="n">
        <v>320</v>
      </c>
      <c r="C14" s="7" t="n">
        <v>320</v>
      </c>
      <c r="D14" s="7" t="n">
        <v>320</v>
      </c>
      <c r="E14" s="7" t="n">
        <v>320</v>
      </c>
      <c r="F14" s="7" t="n">
        <v>320</v>
      </c>
      <c r="G14" s="7" t="n">
        <v>320</v>
      </c>
      <c r="H14" s="7" t="n">
        <v>320</v>
      </c>
      <c r="I14" s="7" t="n">
        <v>320</v>
      </c>
      <c r="J14" s="8">
        <f>SUM(B14:I14)</f>
        <v/>
      </c>
    </row>
    <row r="15">
      <c r="A15" s="4" t="inlineStr">
        <is>
          <t>EBIT</t>
        </is>
      </c>
      <c r="B15" s="5" t="n">
        <v>828</v>
      </c>
      <c r="C15" s="5" t="n">
        <v>786</v>
      </c>
      <c r="D15" s="5" t="n">
        <v>884</v>
      </c>
      <c r="E15" s="5" t="n">
        <v>954</v>
      </c>
      <c r="F15" s="5" t="n">
        <v>1052</v>
      </c>
      <c r="G15" s="5" t="n">
        <v>1108</v>
      </c>
      <c r="H15" s="5" t="n">
        <v>1024</v>
      </c>
      <c r="I15" s="5" t="n">
        <v>912</v>
      </c>
      <c r="J15" s="5">
        <f>SUM(B15:I15)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5" customWidth="1" min="4" max="4"/>
    <col width="12" customWidth="1" min="5" max="5"/>
    <col width="12" customWidth="1" min="6" max="6"/>
  </cols>
  <sheetData>
    <row r="1">
      <c r="A1" s="12" t="inlineStr">
        <is>
          <t>NatFresh — Revenue &amp; Margin by Category</t>
        </is>
      </c>
    </row>
    <row r="3">
      <c r="A3" s="3" t="inlineStr">
        <is>
          <t>Category</t>
        </is>
      </c>
      <c r="B3" s="3" t="inlineStr">
        <is>
          <t>Revenue ($000s)</t>
        </is>
      </c>
      <c r="C3" s="3" t="inlineStr">
        <is>
          <t>% Mix</t>
        </is>
      </c>
      <c r="D3" s="3" t="inlineStr">
        <is>
          <t>Gross Margin $</t>
        </is>
      </c>
      <c r="E3" s="3" t="inlineStr">
        <is>
          <t>Margin %</t>
        </is>
      </c>
      <c r="F3" s="3" t="inlineStr">
        <is>
          <t>YoY Growth</t>
        </is>
      </c>
    </row>
    <row r="4">
      <c r="A4" s="9" t="inlineStr">
        <is>
          <t>Dry Grocery</t>
        </is>
      </c>
      <c r="B4" s="7" t="n">
        <v>28400</v>
      </c>
      <c r="C4" s="10">
        <f>C4/C9</f>
        <v/>
      </c>
      <c r="D4" s="7" t="n">
        <v>7900</v>
      </c>
      <c r="E4" s="10">
        <f>E4/C4</f>
        <v/>
      </c>
      <c r="F4" s="10" t="n">
        <v>0.06</v>
      </c>
    </row>
    <row r="5">
      <c r="A5" s="9" t="inlineStr">
        <is>
          <t>Fresh/Refrigerated</t>
        </is>
      </c>
      <c r="B5" s="8" t="n">
        <v>24100</v>
      </c>
      <c r="C5" s="11">
        <f>C5/C9</f>
        <v/>
      </c>
      <c r="D5" s="8" t="n">
        <v>7800</v>
      </c>
      <c r="E5" s="11">
        <f>E5/C5</f>
        <v/>
      </c>
      <c r="F5" s="11" t="n">
        <v>0.09</v>
      </c>
    </row>
    <row r="6">
      <c r="A6" s="9" t="inlineStr">
        <is>
          <t>Frozen</t>
        </is>
      </c>
      <c r="B6" s="7" t="n">
        <v>18600</v>
      </c>
      <c r="C6" s="10">
        <f>C6/C9</f>
        <v/>
      </c>
      <c r="D6" s="7" t="n">
        <v>5200</v>
      </c>
      <c r="E6" s="10">
        <f>E6/C6</f>
        <v/>
      </c>
      <c r="F6" s="10" t="n">
        <v>0.04</v>
      </c>
    </row>
    <row r="7">
      <c r="A7" s="9" t="inlineStr">
        <is>
          <t>Beverage</t>
        </is>
      </c>
      <c r="B7" s="8" t="n">
        <v>14800</v>
      </c>
      <c r="C7" s="11">
        <f>C7/C9</f>
        <v/>
      </c>
      <c r="D7" s="8" t="n">
        <v>3900</v>
      </c>
      <c r="E7" s="11">
        <f>E7/C7</f>
        <v/>
      </c>
      <c r="F7" s="11" t="n">
        <v>0.12</v>
      </c>
    </row>
    <row r="8">
      <c r="A8" s="9" t="inlineStr">
        <is>
          <t>Specialty/Organic</t>
        </is>
      </c>
      <c r="B8" s="7" t="n">
        <v>8200</v>
      </c>
      <c r="C8" s="10">
        <f>C8/C9</f>
        <v/>
      </c>
      <c r="D8" s="7" t="n">
        <v>2800</v>
      </c>
      <c r="E8" s="10">
        <f>E8/C8</f>
        <v/>
      </c>
      <c r="F8" s="10" t="n">
        <v>0.18</v>
      </c>
    </row>
    <row r="9">
      <c r="A9" s="4" t="inlineStr">
        <is>
          <t>TOTAL</t>
        </is>
      </c>
      <c r="B9" s="5">
        <f>SUM(C4:C8)</f>
        <v/>
      </c>
      <c r="C9" s="13" t="inlineStr"/>
      <c r="D9" s="5">
        <f>SUM(E4:E8)</f>
        <v/>
      </c>
      <c r="E9" s="13">
        <f>F9/C9</f>
        <v/>
      </c>
      <c r="F9" s="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2" t="inlineStr">
        <is>
          <t>NatFresh — DCF</t>
        </is>
      </c>
    </row>
    <row r="4">
      <c r="A4" s="9" t="inlineStr">
        <is>
          <t>Revenue Growth Yr1-2</t>
        </is>
      </c>
      <c r="B4" s="14" t="n">
        <v>0.09</v>
      </c>
    </row>
    <row r="5">
      <c r="A5" s="9" t="inlineStr">
        <is>
          <t>Revenue Growth Yr3-5</t>
        </is>
      </c>
      <c r="B5" s="14" t="n">
        <v>0.06</v>
      </c>
    </row>
    <row r="6">
      <c r="A6" s="9" t="inlineStr">
        <is>
          <t>EBITDA Margin</t>
        </is>
      </c>
      <c r="B6" s="14" t="n">
        <v>0.07199999999999999</v>
      </c>
    </row>
    <row r="7">
      <c r="A7" s="9" t="inlineStr">
        <is>
          <t>D&amp;A % Rev</t>
        </is>
      </c>
      <c r="B7" s="14" t="n">
        <v>0.038</v>
      </c>
    </row>
    <row r="8">
      <c r="A8" s="9" t="inlineStr">
        <is>
          <t>Capex % Rev</t>
        </is>
      </c>
      <c r="B8" s="14" t="n">
        <v>0.018</v>
      </c>
    </row>
    <row r="9">
      <c r="A9" s="9" t="inlineStr">
        <is>
          <t>Tax Rate</t>
        </is>
      </c>
      <c r="B9" s="14" t="n">
        <v>0.26</v>
      </c>
    </row>
    <row r="10">
      <c r="A10" s="9" t="inlineStr">
        <is>
          <t>WACC</t>
        </is>
      </c>
      <c r="B10" s="14" t="n">
        <v>0.105</v>
      </c>
    </row>
    <row r="11">
      <c r="A11" s="9" t="inlineStr">
        <is>
          <t>Terminal Growth</t>
        </is>
      </c>
      <c r="B11" s="14" t="n">
        <v>0.02</v>
      </c>
    </row>
    <row r="14">
      <c r="A14" s="3" t="inlineStr"/>
      <c r="B14" s="3" t="inlineStr">
        <is>
          <t>2025E</t>
        </is>
      </c>
      <c r="C14" s="3" t="inlineStr">
        <is>
          <t>2026E</t>
        </is>
      </c>
      <c r="D14" s="3" t="inlineStr">
        <is>
          <t>2027E</t>
        </is>
      </c>
      <c r="E14" s="3" t="inlineStr">
        <is>
          <t>2028E</t>
        </is>
      </c>
      <c r="F14" s="3" t="inlineStr">
        <is>
          <t>2029E</t>
        </is>
      </c>
    </row>
    <row r="15">
      <c r="A15" s="9" t="inlineStr">
        <is>
          <t>Revenue</t>
        </is>
      </c>
      <c r="B15" s="8">
        <f>94100*(1+$B$4)</f>
        <v/>
      </c>
      <c r="C15" s="8">
        <f>B15*(1+$B$4)</f>
        <v/>
      </c>
      <c r="D15" s="8">
        <f>C15*(1+$B$5)</f>
        <v/>
      </c>
      <c r="E15" s="8">
        <f>D15*(1+$B$5)</f>
        <v/>
      </c>
      <c r="F15" s="8">
        <f>E15*(1+$B$5)</f>
        <v/>
      </c>
    </row>
    <row r="16">
      <c r="A16" s="9" t="inlineStr">
        <is>
          <t>EBITDA</t>
        </is>
      </c>
      <c r="B16" s="8">
        <f>B15*$B$6</f>
        <v/>
      </c>
      <c r="C16" s="8">
        <f>C15*$B$6</f>
        <v/>
      </c>
      <c r="D16" s="8">
        <f>D15*$B$6</f>
        <v/>
      </c>
      <c r="E16" s="8">
        <f>E15*$B$6</f>
        <v/>
      </c>
      <c r="F16" s="8">
        <f>F15*$B$6</f>
        <v/>
      </c>
    </row>
    <row r="17">
      <c r="A17" s="9" t="inlineStr">
        <is>
          <t>D&amp;A</t>
        </is>
      </c>
      <c r="B17" s="8">
        <f>-B15*$B$7</f>
        <v/>
      </c>
      <c r="C17" s="8">
        <f>-C15*$B$7</f>
        <v/>
      </c>
      <c r="D17" s="8">
        <f>-D15*$B$7</f>
        <v/>
      </c>
      <c r="E17" s="8">
        <f>-E15*$B$7</f>
        <v/>
      </c>
      <c r="F17" s="8">
        <f>-F15*$B$7</f>
        <v/>
      </c>
    </row>
    <row r="18">
      <c r="A18" s="9" t="inlineStr">
        <is>
          <t>EBIT</t>
        </is>
      </c>
      <c r="B18" s="8">
        <f>B16+B17</f>
        <v/>
      </c>
      <c r="C18" s="8">
        <f>C16+C17</f>
        <v/>
      </c>
      <c r="D18" s="8">
        <f>D16+D17</f>
        <v/>
      </c>
      <c r="E18" s="8">
        <f>E16+E17</f>
        <v/>
      </c>
      <c r="F18" s="8">
        <f>F16+F17</f>
        <v/>
      </c>
    </row>
    <row r="19">
      <c r="A19" s="9" t="inlineStr">
        <is>
          <t>Tax</t>
        </is>
      </c>
      <c r="B19" s="8">
        <f>-B18*(1-$B$9)</f>
        <v/>
      </c>
      <c r="C19" s="8">
        <f>-C18*(1-$B$9)</f>
        <v/>
      </c>
      <c r="D19" s="8">
        <f>-D18*(1-$B$9)</f>
        <v/>
      </c>
      <c r="E19" s="8">
        <f>-E18*(1-$B$9)</f>
        <v/>
      </c>
      <c r="F19" s="8">
        <f>-F18*(1-$B$9)</f>
        <v/>
      </c>
    </row>
    <row r="20">
      <c r="A20" s="9" t="inlineStr">
        <is>
          <t>Add D&amp;A</t>
        </is>
      </c>
      <c r="B20" s="8">
        <f>-B17</f>
        <v/>
      </c>
      <c r="C20" s="8">
        <f>-C17</f>
        <v/>
      </c>
      <c r="D20" s="8">
        <f>-D17</f>
        <v/>
      </c>
      <c r="E20" s="8">
        <f>-E17</f>
        <v/>
      </c>
      <c r="F20" s="8">
        <f>-F17</f>
        <v/>
      </c>
    </row>
    <row r="21">
      <c r="A21" s="9" t="inlineStr">
        <is>
          <t>Capex</t>
        </is>
      </c>
      <c r="B21" s="8">
        <f>-B15*$B$8</f>
        <v/>
      </c>
      <c r="C21" s="8">
        <f>-C15*$B$8</f>
        <v/>
      </c>
      <c r="D21" s="8">
        <f>-D15*$B$8</f>
        <v/>
      </c>
      <c r="E21" s="8">
        <f>-E15*$B$8</f>
        <v/>
      </c>
      <c r="F21" s="8">
        <f>-F15*$B$8</f>
        <v/>
      </c>
    </row>
    <row r="22">
      <c r="A22" s="4" t="inlineStr">
        <is>
          <t>FCF</t>
        </is>
      </c>
      <c r="B22" s="8">
        <f>SUM(B16:B22)</f>
        <v/>
      </c>
      <c r="C22" s="8">
        <f>SUM(C16:C22)</f>
        <v/>
      </c>
      <c r="D22" s="8">
        <f>SUM(D16:D22)</f>
        <v/>
      </c>
      <c r="E22" s="8">
        <f>SUM(E16:E22)</f>
        <v/>
      </c>
      <c r="F22" s="8">
        <f>SUM(F16:F22)</f>
        <v/>
      </c>
    </row>
    <row r="23">
      <c r="A23" s="9" t="inlineStr">
        <is>
          <t>Disc</t>
        </is>
      </c>
      <c r="B23" s="8">
        <f>1/(1+$B$10)^1</f>
        <v/>
      </c>
      <c r="C23" s="8">
        <f>1/(1+$B$10)^2</f>
        <v/>
      </c>
      <c r="D23" s="8">
        <f>1/(1+$B$10)^3</f>
        <v/>
      </c>
      <c r="E23" s="8">
        <f>1/(1+$B$10)^4</f>
        <v/>
      </c>
      <c r="F23" s="8">
        <f>1/(1+$B$10)^5</f>
        <v/>
      </c>
    </row>
    <row r="24">
      <c r="A24" s="9" t="inlineStr">
        <is>
          <t>PV FCF</t>
        </is>
      </c>
      <c r="B24" s="8">
        <f>B23*B24</f>
        <v/>
      </c>
      <c r="C24" s="8">
        <f>C23*C24</f>
        <v/>
      </c>
      <c r="D24" s="8">
        <f>D23*D24</f>
        <v/>
      </c>
      <c r="E24" s="8">
        <f>E23*E24</f>
        <v/>
      </c>
      <c r="F24" s="8">
        <f>F23*F24</f>
        <v/>
      </c>
    </row>
    <row r="26">
      <c r="A26" s="15" t="inlineStr">
        <is>
          <t>Valuation</t>
        </is>
      </c>
    </row>
    <row r="27">
      <c r="A27" s="9" t="inlineStr">
        <is>
          <t>PV FCFs</t>
        </is>
      </c>
      <c r="B27" s="8">
        <f>SUM(B25:F25)</f>
        <v/>
      </c>
    </row>
    <row r="28">
      <c r="A28" s="9" t="inlineStr">
        <is>
          <t>TV</t>
        </is>
      </c>
      <c r="B28" s="8">
        <f>F23*(1+$B$11)/($B$10-$B$11)</f>
        <v/>
      </c>
    </row>
    <row r="29">
      <c r="A29" s="9" t="inlineStr">
        <is>
          <t>PV TV</t>
        </is>
      </c>
      <c r="B29" s="8">
        <f>B28/(1+$B$10)^5</f>
        <v/>
      </c>
    </row>
    <row r="30">
      <c r="A30" s="4" t="inlineStr">
        <is>
          <t>EV</t>
        </is>
      </c>
      <c r="B30" s="8">
        <f>B27+B29</f>
        <v/>
      </c>
    </row>
    <row r="31">
      <c r="A31" s="9" t="inlineStr">
        <is>
          <t>Net Debt</t>
        </is>
      </c>
      <c r="B31" s="8" t="n">
        <v>-9200</v>
      </c>
    </row>
    <row r="32">
      <c r="A32" s="4" t="inlineStr">
        <is>
          <t>Equity Value</t>
        </is>
      </c>
      <c r="B32" s="8">
        <f>B30+B31</f>
        <v/>
      </c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